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24519" fullCalcOnLoad="1"/>
</workbook>
</file>

<file path=xl/sharedStrings.xml><?xml version="1.0" encoding="utf-8"?>
<sst xmlns="http://schemas.openxmlformats.org/spreadsheetml/2006/main" count="151" uniqueCount="68">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</sst>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165" fontId="0" fillId="0" borderId="1" xfId="0" applyNumberFormat="1" applyBorder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매출</c:v>
          </c:tx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General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3" width="8.7109375" customWidth="1"/>
    <col min="4" max="4" width="14.7109375" customWidth="1"/>
    <col min="5" max="5" width="10.7109375" customWidth="1"/>
    <col min="6" max="6" width="18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 t="s">
        <v>8</v>
      </c>
      <c r="B4" s="4" t="s">
        <v>9</v>
      </c>
      <c r="C4" s="4" t="s">
        <v>10</v>
      </c>
      <c r="D4" s="5">
        <v>1240000</v>
      </c>
      <c r="E4" s="4" t="s">
        <v>11</v>
      </c>
      <c r="F4" s="4" t="s">
        <v>12</v>
      </c>
    </row>
    <row r="5" spans="1:6">
      <c r="A5" s="3" t="s">
        <v>13</v>
      </c>
      <c r="B5" s="4" t="s">
        <v>14</v>
      </c>
      <c r="C5" s="4" t="s">
        <v>15</v>
      </c>
      <c r="D5" s="5">
        <v>880000</v>
      </c>
      <c r="E5" s="4" t="s">
        <v>11</v>
      </c>
      <c r="F5" s="4" t="s">
        <v>16</v>
      </c>
    </row>
    <row r="6" spans="1:6">
      <c r="A6" s="3" t="s">
        <v>17</v>
      </c>
      <c r="B6" s="4" t="s">
        <v>18</v>
      </c>
      <c r="C6" s="4" t="s">
        <v>10</v>
      </c>
      <c r="D6" s="5">
        <v>3050000</v>
      </c>
      <c r="E6" s="4" t="s">
        <v>19</v>
      </c>
      <c r="F6" s="4" t="s">
        <v>12</v>
      </c>
    </row>
    <row r="7" spans="1:6">
      <c r="A7" s="3" t="s">
        <v>20</v>
      </c>
      <c r="B7" s="4" t="s">
        <v>18</v>
      </c>
      <c r="C7" s="4" t="s">
        <v>15</v>
      </c>
      <c r="D7" s="5">
        <v>2100000</v>
      </c>
      <c r="E7" s="4" t="s">
        <v>19</v>
      </c>
      <c r="F7" s="4" t="s">
        <v>12</v>
      </c>
    </row>
    <row r="8" spans="1:6">
      <c r="A8" s="3" t="s">
        <v>21</v>
      </c>
      <c r="B8" s="4" t="s">
        <v>22</v>
      </c>
      <c r="C8" s="4" t="s">
        <v>10</v>
      </c>
      <c r="D8" s="5">
        <v>1760000</v>
      </c>
      <c r="E8" s="4" t="s">
        <v>11</v>
      </c>
      <c r="F8" s="4" t="s">
        <v>12</v>
      </c>
    </row>
    <row r="9" spans="1:6">
      <c r="A9" s="3" t="s">
        <v>23</v>
      </c>
      <c r="B9" s="4" t="s">
        <v>24</v>
      </c>
      <c r="C9" s="4" t="s">
        <v>15</v>
      </c>
      <c r="D9" s="5">
        <v>4310000</v>
      </c>
      <c r="E9" s="4" t="s">
        <v>25</v>
      </c>
      <c r="F9" s="4" t="s">
        <v>26</v>
      </c>
    </row>
    <row r="10" spans="1:6">
      <c r="A10" s="3" t="s">
        <v>27</v>
      </c>
      <c r="B10" s="4" t="s">
        <v>24</v>
      </c>
      <c r="C10" s="4" t="s">
        <v>10</v>
      </c>
      <c r="D10" s="5">
        <v>2650000</v>
      </c>
      <c r="E10" s="4" t="s">
        <v>25</v>
      </c>
      <c r="F10" s="4" t="s">
        <v>12</v>
      </c>
    </row>
    <row r="11" spans="1:6">
      <c r="A11" s="3" t="s">
        <v>28</v>
      </c>
      <c r="B11" s="4" t="s">
        <v>9</v>
      </c>
      <c r="C11" s="4" t="s">
        <v>15</v>
      </c>
      <c r="D11" s="5">
        <v>1020000</v>
      </c>
      <c r="E11" s="4" t="s">
        <v>29</v>
      </c>
      <c r="F11" s="4" t="s">
        <v>12</v>
      </c>
    </row>
    <row r="13" spans="1:6">
      <c r="A13" s="3" t="s">
        <v>30</v>
      </c>
      <c r="B13" s="4" t="s">
        <v>18</v>
      </c>
      <c r="C13" s="4" t="s">
        <v>10</v>
      </c>
      <c r="D13" s="5">
        <v>3480000</v>
      </c>
      <c r="E13" s="4" t="s">
        <v>19</v>
      </c>
      <c r="F13" s="4" t="s">
        <v>12</v>
      </c>
    </row>
    <row r="14" spans="1:6">
      <c r="A14" s="3" t="s">
        <v>31</v>
      </c>
      <c r="B14" s="4" t="s">
        <v>32</v>
      </c>
      <c r="C14" s="4" t="s">
        <v>15</v>
      </c>
      <c r="D14" s="5">
        <v>1950000</v>
      </c>
      <c r="E14" s="4" t="s">
        <v>29</v>
      </c>
      <c r="F14" s="4" t="s">
        <v>33</v>
      </c>
    </row>
    <row r="15" spans="1:6">
      <c r="A15" s="3" t="s">
        <v>34</v>
      </c>
      <c r="B15" s="4" t="s">
        <v>24</v>
      </c>
      <c r="C15" s="4" t="s">
        <v>10</v>
      </c>
      <c r="D15" s="5">
        <v>2240000</v>
      </c>
      <c r="E15" s="4" t="s">
        <v>25</v>
      </c>
      <c r="F15" s="4" t="s">
        <v>12</v>
      </c>
    </row>
    <row r="16" spans="1:6">
      <c r="A16" s="3" t="s">
        <v>35</v>
      </c>
      <c r="B16" s="4" t="s">
        <v>9</v>
      </c>
      <c r="C16" s="4" t="s">
        <v>10</v>
      </c>
      <c r="D16" s="5">
        <v>1430000</v>
      </c>
      <c r="E16" s="4" t="s">
        <v>11</v>
      </c>
      <c r="F16" s="4" t="s">
        <v>12</v>
      </c>
    </row>
    <row r="17" spans="1:6">
      <c r="A17" s="3" t="s">
        <v>36</v>
      </c>
      <c r="B17" s="4" t="s">
        <v>18</v>
      </c>
      <c r="C17" s="4" t="s">
        <v>15</v>
      </c>
      <c r="D17" s="5">
        <v>2870000</v>
      </c>
      <c r="E17" s="4" t="s">
        <v>19</v>
      </c>
      <c r="F17" s="4" t="s">
        <v>12</v>
      </c>
    </row>
    <row r="18" spans="1:6">
      <c r="A18" s="3" t="s">
        <v>37</v>
      </c>
      <c r="B18" s="4" t="s">
        <v>24</v>
      </c>
      <c r="C18" s="4" t="s">
        <v>15</v>
      </c>
      <c r="D18" s="5">
        <v>3760000</v>
      </c>
      <c r="E18" s="4" t="s">
        <v>29</v>
      </c>
      <c r="F18" s="4" t="s">
        <v>12</v>
      </c>
    </row>
    <row r="19" spans="1:6">
      <c r="A19" s="3" t="s">
        <v>38</v>
      </c>
      <c r="B19" s="4" t="s">
        <v>9</v>
      </c>
      <c r="C19" s="4" t="s">
        <v>10</v>
      </c>
      <c r="D19" s="5">
        <v>1580000</v>
      </c>
      <c r="E19" s="4" t="s">
        <v>11</v>
      </c>
      <c r="F19" s="4" t="s">
        <v>39</v>
      </c>
    </row>
  </sheetData>
  <mergeCells count="2">
    <mergeCell ref="A1:F1"/>
    <mergeCell ref="A2:C2"/>
  </mergeCells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12.7109375" customWidth="1"/>
    <col min="2" max="3" width="14.7109375" customWidth="1"/>
  </cols>
  <sheetData>
    <row r="1" spans="1:3">
      <c r="A1" s="6" t="s">
        <v>40</v>
      </c>
    </row>
    <row r="2" spans="1:3">
      <c r="A2" s="2" t="s">
        <v>3</v>
      </c>
      <c r="B2" s="2" t="s">
        <v>41</v>
      </c>
      <c r="C2" s="2" t="s">
        <v>42</v>
      </c>
    </row>
    <row r="3" spans="1:3">
      <c r="A3" s="4" t="s">
        <v>9</v>
      </c>
      <c r="B3" s="5">
        <v>6000000</v>
      </c>
      <c r="C3" s="7">
        <v>0.04</v>
      </c>
    </row>
    <row r="4" spans="1:3">
      <c r="A4" s="4" t="s">
        <v>18</v>
      </c>
      <c r="B4" s="5">
        <v>12000000</v>
      </c>
      <c r="C4" s="7">
        <v>0.045</v>
      </c>
    </row>
    <row r="5" spans="1:3">
      <c r="A5" s="4" t="s">
        <v>24</v>
      </c>
      <c r="B5" s="5">
        <v>11000000</v>
      </c>
      <c r="C5" s="7">
        <v>0.05</v>
      </c>
    </row>
    <row r="7" spans="1:3">
      <c r="A7" s="2" t="s">
        <v>4</v>
      </c>
      <c r="B7" s="2" t="s">
        <v>43</v>
      </c>
    </row>
    <row r="8" spans="1:3">
      <c r="A8" s="4" t="s">
        <v>10</v>
      </c>
      <c r="B8" s="7">
        <v>0.03</v>
      </c>
    </row>
    <row r="9" spans="1:3">
      <c r="A9" s="4" t="s">
        <v>15</v>
      </c>
      <c r="B9" s="7">
        <v>0.05</v>
      </c>
    </row>
    <row r="10" spans="1:3">
      <c r="A10" s="4" t="s">
        <v>26</v>
      </c>
      <c r="B10" s="7">
        <v>0.07000000000000001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2.7109375" customWidth="1"/>
    <col min="2" max="4" width="16.7109375" customWidth="1"/>
  </cols>
  <sheetData>
    <row r="1" spans="1:4">
      <c r="A1" s="6" t="s">
        <v>44</v>
      </c>
    </row>
    <row r="2" spans="1:4">
      <c r="A2" s="2" t="s">
        <v>3</v>
      </c>
      <c r="B2" s="2" t="s">
        <v>45</v>
      </c>
      <c r="C2" s="2" t="s">
        <v>46</v>
      </c>
      <c r="D2" s="2" t="s">
        <v>47</v>
      </c>
    </row>
    <row r="3" spans="1:4">
      <c r="A3" s="4" t="s">
        <v>9</v>
      </c>
      <c r="B3" s="5">
        <f>SUMIF(대장!$B$4:$B$19,A3,대장!$D$4:$D$19)</f>
        <v>0</v>
      </c>
      <c r="C3" s="7">
        <f>IFERROR(B3/VLOOKUP(A3,기준!$A$3:$B$5,2,FALSE),"")</f>
        <v>0</v>
      </c>
      <c r="D3" s="5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0</v>
      </c>
    </row>
    <row r="4" spans="1:4">
      <c r="A4" s="4" t="s">
        <v>18</v>
      </c>
      <c r="B4" s="5">
        <f>SUMIF(대장!$B$4:$B$19,A4,대장!$D$4:$D$19)</f>
        <v>0</v>
      </c>
      <c r="C4" s="7">
        <f>IFERROR(B4/VLOOKUP(A4,기준!$A$3:$B$5,2,FALSE),"")</f>
        <v>0</v>
      </c>
      <c r="D4" s="5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0</v>
      </c>
    </row>
    <row r="5" spans="1:4">
      <c r="A5" s="4" t="s">
        <v>24</v>
      </c>
      <c r="B5" s="5">
        <f>SUMIF(대장!$B$4:$B$19,A5,대장!$D$4:$D$19)</f>
        <v>0</v>
      </c>
      <c r="C5" s="7">
        <f>IFERROR(B5/VLOOKUP(A5,기준!$A$3:$B$5,2,FALSE),"")</f>
        <v>0</v>
      </c>
      <c r="D5" s="5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0</v>
      </c>
    </row>
    <row r="7" spans="1:4">
      <c r="A7" s="2" t="s">
        <v>48</v>
      </c>
      <c r="B7" s="5">
        <f>SUM(B3:B5)</f>
        <v>0</v>
      </c>
      <c r="D7" s="5">
        <f>SUM(D3:D5)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4" width="14.7109375" customWidth="1"/>
  </cols>
  <sheetData>
    <row r="1" spans="1:2">
      <c r="A1" t="s">
        <v>49</v>
      </c>
      <c r="B1" t="s">
        <v>50</v>
      </c>
    </row>
    <row r="2" spans="1:2">
      <c r="A2" s="4" t="s">
        <v>51</v>
      </c>
      <c r="B2" s="5">
        <v>5170000</v>
      </c>
    </row>
    <row r="3" spans="1:2">
      <c r="A3" s="4" t="s">
        <v>52</v>
      </c>
      <c r="B3" s="5">
        <v>8170000</v>
      </c>
    </row>
    <row r="4" spans="1:2">
      <c r="A4" s="4" t="s">
        <v>53</v>
      </c>
      <c r="B4" s="5">
        <v>9340000</v>
      </c>
    </row>
    <row r="5" spans="1:2">
      <c r="A5" s="4" t="s">
        <v>54</v>
      </c>
      <c r="B5" s="5">
        <v>6540000</v>
      </c>
    </row>
    <row r="6" spans="1:2">
      <c r="A6" s="4" t="s">
        <v>55</v>
      </c>
      <c r="B6" s="5">
        <v>5340000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t="s">
        <v>56</v>
      </c>
      <c r="B1" t="s">
        <v>57</v>
      </c>
      <c r="C1" t="s">
        <v>58</v>
      </c>
    </row>
    <row r="2" spans="1:3">
      <c r="A2" s="4" t="s">
        <v>11</v>
      </c>
      <c r="B2" s="4" t="s">
        <v>9</v>
      </c>
      <c r="C2" s="3" t="s">
        <v>59</v>
      </c>
    </row>
    <row r="3" spans="1:3">
      <c r="A3" s="4" t="s">
        <v>19</v>
      </c>
      <c r="B3" s="4" t="s">
        <v>18</v>
      </c>
      <c r="C3" s="3" t="s">
        <v>60</v>
      </c>
    </row>
    <row r="4" spans="1:3">
      <c r="A4" s="4" t="s">
        <v>25</v>
      </c>
      <c r="B4" s="4" t="s">
        <v>24</v>
      </c>
      <c r="C4" s="3" t="s">
        <v>61</v>
      </c>
    </row>
    <row r="5" spans="1:3">
      <c r="A5" s="4" t="s">
        <v>29</v>
      </c>
      <c r="B5" s="4" t="s">
        <v>9</v>
      </c>
      <c r="C5" s="3" t="s">
        <v>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6" t="s">
        <v>63</v>
      </c>
    </row>
    <row r="2" spans="1:3">
      <c r="A2" s="2" t="s">
        <v>2</v>
      </c>
      <c r="B2" s="2" t="s">
        <v>3</v>
      </c>
      <c r="C2" s="2" t="s">
        <v>5</v>
      </c>
    </row>
    <row r="3" spans="1:3">
      <c r="A3" s="3" t="s">
        <v>8</v>
      </c>
      <c r="B3" s="4" t="s">
        <v>9</v>
      </c>
      <c r="C3" s="5">
        <v>1240000</v>
      </c>
    </row>
    <row r="4" spans="1:3">
      <c r="A4" s="3" t="s">
        <v>13</v>
      </c>
      <c r="B4" s="4" t="s">
        <v>14</v>
      </c>
      <c r="C4" s="5">
        <v>880000</v>
      </c>
    </row>
    <row r="5" spans="1:3">
      <c r="A5" s="3" t="s">
        <v>17</v>
      </c>
      <c r="B5" s="4" t="s">
        <v>18</v>
      </c>
      <c r="C5" s="5">
        <v>3050000</v>
      </c>
    </row>
    <row r="6" spans="1:3">
      <c r="A6" s="3" t="s">
        <v>20</v>
      </c>
      <c r="B6" s="4" t="s">
        <v>18</v>
      </c>
      <c r="C6" s="5">
        <v>2100000</v>
      </c>
    </row>
    <row r="7" spans="1:3">
      <c r="A7" s="3" t="s">
        <v>21</v>
      </c>
      <c r="B7" s="4" t="s">
        <v>22</v>
      </c>
      <c r="C7" s="5">
        <v>1760000</v>
      </c>
    </row>
    <row r="8" spans="1:3">
      <c r="A8" s="3" t="s">
        <v>23</v>
      </c>
      <c r="B8" s="4" t="s">
        <v>24</v>
      </c>
      <c r="C8" s="5">
        <v>4310000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90.7109375" customWidth="1"/>
  </cols>
  <sheetData>
    <row r="1" spans="1:1">
      <c r="A1" t="s">
        <v>64</v>
      </c>
    </row>
    <row r="2" spans="1:1">
      <c r="A2" t="s">
        <v>65</v>
      </c>
    </row>
    <row r="3" spans="1:1">
      <c r="A3" t="s">
        <v>66</v>
      </c>
    </row>
    <row r="4" spans="1:1">
      <c r="A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2026-09-19T09:05:24Z</dcterms:modified>
</cp:coreProperties>
</file>