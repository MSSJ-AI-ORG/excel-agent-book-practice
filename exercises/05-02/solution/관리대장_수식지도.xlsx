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D5" i="3" l="1"/>
  <c r="B5" i="3"/>
  <c r="C5" i="3" s="1"/>
  <c r="D4" i="3"/>
  <c r="B4" i="3"/>
  <c r="C4" i="3" s="1"/>
  <c r="D3" i="3"/>
  <c r="D7" i="3" s="1"/>
  <c r="B3" i="3"/>
  <c r="B7" i="3" s="1"/>
  <c r="C3" i="3" l="1"/>
</calcChain>
</file>

<file path=xl/sharedStrings.xml><?xml version="1.0" encoding="utf-8"?>
<sst xmlns="http://schemas.openxmlformats.org/spreadsheetml/2006/main" count="146" uniqueCount="68">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</sst>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0" fillId="4" borderId="1" xfId="0" applyNumberFormat="1" applyFill="1" applyBorder="1"/>
    <xf numFmtId="176" fontId="0" fillId="4" borderId="1" xfId="0" applyNumberFormat="1" applyFill="1" applyBorder="1"/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75987872"/>
        <c:axId val="-775986240"/>
      </c:barChart>
      <c:catAx>
        <c:axId val="-775987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775986240"/>
        <c:crosses val="autoZero"/>
        <c:auto val="1"/>
        <c:lblAlgn val="ctr"/>
        <c:lblOffset val="100"/>
        <c:noMultiLvlLbl val="0"/>
      </c:catAx>
      <c:valAx>
        <c:axId val="-7759862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7759878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8">
        <f>SUMIF(대장!$B$4:$B$19,A3,대장!$D$4:$D$19)</f>
        <v>5270000</v>
      </c>
      <c r="C3" s="9">
        <f>IFERROR(B3/VLOOKUP(A3,기준!$A$3:$B$5,2,FALSE),"")</f>
        <v>0.8783333333333333</v>
      </c>
      <c r="D3" s="8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8">
        <f>SUMIF(대장!$B$4:$B$19,A4,대장!$D$4:$D$19)</f>
        <v>11500000</v>
      </c>
      <c r="C4" s="9">
        <f>IFERROR(B4/VLOOKUP(A4,기준!$A$3:$B$5,2,FALSE),"")</f>
        <v>0.95833333333333337</v>
      </c>
      <c r="D4" s="8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8">
        <f>SUMIF(대장!$B$4:$B$19,A5,대장!$D$4:$D$19)</f>
        <v>12960000</v>
      </c>
      <c r="C5" s="9">
        <f>IFERROR(B5/VLOOKUP(A5,기준!$A$3:$B$5,2,FALSE),"")</f>
        <v>1.1781818181818182</v>
      </c>
      <c r="D5" s="8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8">
        <f>SUM(B3:B5)</f>
        <v>29730000</v>
      </c>
      <c r="D7" s="8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3</vt:i4>
      </vt:variant>
    </vt:vector>
  </HeadingPairs>
  <TitlesOfParts>
    <vt:vector size="10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2026-09-21T14:58:34Z</dcterms:modified>
</cp:coreProperties>
</file>