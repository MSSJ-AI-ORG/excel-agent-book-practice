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풀이" sheetId="8" r:id="rId1"/>
    <sheet name="대장" sheetId="1" r:id="rId2"/>
    <sheet name="기준" sheetId="2" r:id="rId3"/>
    <sheet name="정산" sheetId="3" r:id="rId4"/>
    <sheet name="월별" sheetId="4" r:id="rId5"/>
    <sheet name="담당자" sheetId="5" r:id="rId6"/>
    <sheet name="백업_0402" sheetId="6" r:id="rId7"/>
    <sheet name="읽어주세요" sheetId="7" r:id="rId8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B5" i="8" l="1"/>
  <c r="B6" i="8" s="1"/>
  <c r="B3" i="8"/>
  <c r="B2" i="8"/>
  <c r="B7" i="8" s="1"/>
  <c r="D5" i="3"/>
  <c r="B5" i="3"/>
  <c r="C5" i="3" s="1"/>
  <c r="D4" i="3"/>
  <c r="B4" i="3"/>
  <c r="C4" i="3" s="1"/>
  <c r="D3" i="3"/>
  <c r="B3" i="3"/>
  <c r="B7" i="3" l="1"/>
  <c r="D7" i="3"/>
  <c r="B8" i="8"/>
  <c r="B4" i="8"/>
  <c r="B9" i="8" s="1"/>
  <c r="B10" i="8"/>
  <c r="C3" i="3"/>
</calcChain>
</file>

<file path=xl/sharedStrings.xml><?xml version="1.0" encoding="utf-8"?>
<sst xmlns="http://schemas.openxmlformats.org/spreadsheetml/2006/main" count="167" uniqueCount="89">
  <si>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</si>
  <si>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</si>
  <si>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</si>
  <si>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</si>
  <si>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</si>
  <si>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</si>
  <si>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</si>
  <si>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</si>
  <si>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</si>
  <si>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</si>
  <si>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</si>
  <si>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</si>
  <si>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</si>
  <si>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</si>
  <si>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</si>
  <si>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</si>
  <si>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</si>
  <si>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</si>
  <si>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</si>
  <si>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</si>
  <si>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</si>
  <si>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</si>
  <si>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</si>
  <si>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</si>
  <si>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</si>
  <si>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</si>
  <si>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</si>
  <si>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</si>
  <si>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</si>
  <si>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</si>
  <si>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</si>
  <si>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</si>
  <si>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</si>
  <si>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</si>
  <si>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</si>
  <si>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</si>
  <si>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</si>
  <si>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</si>
  <si>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</si>
  <si>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</si>
  <si>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</si>
  <si>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</si>
  <si>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</si>
  <si>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</si>
  <si>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</si>
  <si>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</si>
  <si>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</si>
  <si>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</si>
  <si>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</si>
  <si>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</si>
  <si>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</si>
  <si>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</si>
  <si>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</si>
  <si>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</si>
  <si>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</si>
  <si>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</si>
  <si>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</si>
  <si>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</si>
  <si>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</si>
  <si>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</si>
  <si>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</si>
  <si>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</si>
  <si>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</si>
  <si>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</si>
  <si>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</si>
  <si>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</si>
  <si>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</si>
  <si>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</si>
  <si>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단계</t>
  </si>
  <si>
    <t>값</t>
  </si>
  <si>
    <t>하는 일</t>
  </si>
  <si>
    <t>①</t>
  </si>
  <si>
    <t>부서 이름이 정확히 같은 행의 매출을 더한다</t>
  </si>
  <si>
    <t>②</t>
  </si>
  <si>
    <t>기준 시트에서 목표를 찾아온다</t>
  </si>
  <si>
    <t>③</t>
  </si>
  <si>
    <t>매출이 목표 이상인가</t>
  </si>
  <si>
    <t>④</t>
  </si>
  <si>
    <t>거래 건수</t>
  </si>
  <si>
    <t>⑤</t>
  </si>
  <si>
    <t>건수가 5건 이상이면 성과가산</t>
  </si>
  <si>
    <t>⑥</t>
  </si>
  <si>
    <t>달성했을 때 갈 가지</t>
  </si>
  <si>
    <t>⑦</t>
  </si>
  <si>
    <t>미달일 때 갈 가지</t>
  </si>
  <si>
    <t>⑧</t>
  </si>
  <si>
    <t>천 원 단위로 반올림</t>
  </si>
  <si>
    <t>⑨</t>
  </si>
  <si>
    <t>정산 시트의 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</si>
</sst>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7872"/>
        <c:axId val="-775986240"/>
      </c:barChart>
      <c:catAx>
        <c:axId val="-775987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6240"/>
        <c:crosses val="autoZero"/>
        <c:auto val="1"/>
        <c:lblAlgn val="ctr"/>
        <c:lblOffset val="100"/>
        <c:noMultiLvlLbl val="0"/>
      </c:catAx>
      <c:valAx>
        <c:axId val="-775986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7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6.5" x14ac:dyDescent="0.3"/>
  <sheetData>
    <row r="1" spans="1:3" x14ac:dyDescent="0.3">
      <c r="A1" t="s">
        <v>68</v>
      </c>
      <c r="B1" t="s">
        <v>69</v>
      </c>
      <c r="C1" t="s">
        <v>70</v>
      </c>
    </row>
    <row r="2" spans="1:3" x14ac:dyDescent="0.3">
      <c r="A2" t="s">
        <v>71</v>
      </c>
      <c r="B2">
        <f>SUMIF(대장!$B$4:$B$19,정산!A3,대장!$D$4:$D$19)</f>
        <v>5270000</v>
      </c>
      <c r="C2" t="s">
        <v>72</v>
      </c>
    </row>
    <row r="3" spans="1:3" x14ac:dyDescent="0.3">
      <c r="A3" t="s">
        <v>73</v>
      </c>
      <c r="B3">
        <f>VLOOKUP(정산!A3,기준!$A$3:$B$5,2,FALSE)</f>
        <v>6000000</v>
      </c>
      <c r="C3" t="s">
        <v>74</v>
      </c>
    </row>
    <row r="4" spans="1:3" x14ac:dyDescent="0.3">
      <c r="A4" t="s">
        <v>75</v>
      </c>
      <c r="B4" t="b">
        <f>B2&gt;=B3</f>
        <v>0</v>
      </c>
      <c r="C4" t="s">
        <v>76</v>
      </c>
    </row>
    <row r="5" spans="1:3" x14ac:dyDescent="0.3">
      <c r="A5" t="s">
        <v>77</v>
      </c>
      <c r="B5">
        <f>COUNTIF(대장!$B$4:$B$19,정산!A3)</f>
        <v>4</v>
      </c>
      <c r="C5" t="s">
        <v>78</v>
      </c>
    </row>
    <row r="6" spans="1:3" x14ac:dyDescent="0.3">
      <c r="A6" t="s">
        <v>79</v>
      </c>
      <c r="B6">
        <f>IF(B5&gt;4,성과가산,0)</f>
        <v>0</v>
      </c>
      <c r="C6" t="s">
        <v>80</v>
      </c>
    </row>
    <row r="7" spans="1:3" x14ac:dyDescent="0.3">
      <c r="A7" t="s">
        <v>81</v>
      </c>
      <c r="B7">
        <f>B2*기준요율+B6</f>
        <v>158100</v>
      </c>
      <c r="C7" t="s">
        <v>82</v>
      </c>
    </row>
    <row r="8" spans="1:3" x14ac:dyDescent="0.3">
      <c r="A8" t="s">
        <v>83</v>
      </c>
      <c r="B8">
        <f>B2*기준요율*0.5</f>
        <v>79050</v>
      </c>
      <c r="C8" t="s">
        <v>84</v>
      </c>
    </row>
    <row r="9" spans="1:3" x14ac:dyDescent="0.3">
      <c r="A9" t="s">
        <v>85</v>
      </c>
      <c r="B9">
        <f>ROUND(IF(B4,B7,B8),-3)</f>
        <v>79000</v>
      </c>
      <c r="C9" t="s">
        <v>86</v>
      </c>
    </row>
    <row r="10" spans="1:3" x14ac:dyDescent="0.3">
      <c r="A10" t="s">
        <v>87</v>
      </c>
      <c r="B10" s="8">
        <f>정산!D3</f>
        <v>79000</v>
      </c>
      <c r="C10" t="s">
        <v>88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풀이</vt:lpstr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2026-09-21T14:58:35Z</dcterms:modified>
</cp:coreProperties>
</file>