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삭제_2026-09-19" sheetId="8" r:id="rId8"/>
  </sheets>
  <definedNames>
    <definedName name="기준요율">기준!$B$8</definedName>
    <definedName name="대장범위">대장!$A$3:$F$16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D7" i="3" s="1"/>
  <c r="B3" i="3"/>
  <c r="B7" i="3" s="1"/>
  <c r="C3" i="3" l="1"/>
</calcChain>
</file>

<file path=xl/sharedStrings.xml><?xml version="1.0" encoding="utf-8"?>
<sst xmlns="http://schemas.openxmlformats.org/spreadsheetml/2006/main" count="152" uniqueCount="68">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</sst>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0069040"/>
        <c:axId val="2020069584"/>
      </c:barChart>
      <c:catAx>
        <c:axId val="2020069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20069584"/>
        <c:crosses val="autoZero"/>
        <c:auto val="1"/>
        <c:lblAlgn val="ctr"/>
        <c:lblOffset val="100"/>
        <c:noMultiLvlLbl val="0"/>
      </c:catAx>
      <c:valAx>
        <c:axId val="20200695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20069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20</v>
      </c>
      <c r="B4" s="3" t="s">
        <v>18</v>
      </c>
      <c r="C4" s="3" t="s">
        <v>15</v>
      </c>
      <c r="D4" s="4">
        <v>2100000</v>
      </c>
      <c r="E4" s="3" t="s">
        <v>19</v>
      </c>
      <c r="F4" s="3" t="s">
        <v>12</v>
      </c>
    </row>
    <row r="5" spans="1:6" x14ac:dyDescent="0.3">
      <c r="A5" s="2" t="s">
        <v>21</v>
      </c>
      <c r="B5" s="3" t="s">
        <v>22</v>
      </c>
      <c r="C5" s="3" t="s">
        <v>10</v>
      </c>
      <c r="D5" s="4">
        <v>1760000</v>
      </c>
      <c r="E5" s="3" t="s">
        <v>11</v>
      </c>
      <c r="F5" s="3" t="s">
        <v>12</v>
      </c>
    </row>
    <row r="6" spans="1:6" x14ac:dyDescent="0.3">
      <c r="A6" s="2" t="s">
        <v>23</v>
      </c>
      <c r="B6" s="3" t="s">
        <v>24</v>
      </c>
      <c r="C6" s="3" t="s">
        <v>15</v>
      </c>
      <c r="D6" s="4">
        <v>4310000</v>
      </c>
      <c r="E6" s="3" t="s">
        <v>25</v>
      </c>
      <c r="F6" s="3" t="s">
        <v>26</v>
      </c>
    </row>
    <row r="7" spans="1:6" x14ac:dyDescent="0.3">
      <c r="A7" s="2" t="s">
        <v>27</v>
      </c>
      <c r="B7" s="3" t="s">
        <v>24</v>
      </c>
      <c r="C7" s="3" t="s">
        <v>10</v>
      </c>
      <c r="D7" s="4">
        <v>2650000</v>
      </c>
      <c r="E7" s="3" t="s">
        <v>25</v>
      </c>
      <c r="F7" s="3" t="s">
        <v>12</v>
      </c>
    </row>
    <row r="8" spans="1:6" x14ac:dyDescent="0.3">
      <c r="A8" s="2" t="s">
        <v>28</v>
      </c>
      <c r="B8" s="3" t="s">
        <v>9</v>
      </c>
      <c r="C8" s="3" t="s">
        <v>15</v>
      </c>
      <c r="D8" s="4">
        <v>1020000</v>
      </c>
      <c r="E8" s="3" t="s">
        <v>29</v>
      </c>
      <c r="F8" s="3" t="s">
        <v>12</v>
      </c>
    </row>
    <row r="10" spans="1:6" x14ac:dyDescent="0.3">
      <c r="A10" s="2" t="s">
        <v>30</v>
      </c>
      <c r="B10" s="3" t="s">
        <v>18</v>
      </c>
      <c r="C10" s="3" t="s">
        <v>10</v>
      </c>
      <c r="D10" s="4">
        <v>3480000</v>
      </c>
      <c r="E10" s="3" t="s">
        <v>19</v>
      </c>
      <c r="F10" s="3" t="s">
        <v>12</v>
      </c>
    </row>
    <row r="11" spans="1:6" x14ac:dyDescent="0.3">
      <c r="A11" s="2" t="s">
        <v>31</v>
      </c>
      <c r="B11" s="3" t="s">
        <v>32</v>
      </c>
      <c r="C11" s="3" t="s">
        <v>15</v>
      </c>
      <c r="D11" s="4">
        <v>1950000</v>
      </c>
      <c r="E11" s="3" t="s">
        <v>29</v>
      </c>
      <c r="F11" s="3" t="s">
        <v>33</v>
      </c>
    </row>
    <row r="12" spans="1:6" x14ac:dyDescent="0.3">
      <c r="A12" s="2" t="s">
        <v>34</v>
      </c>
      <c r="B12" s="3" t="s">
        <v>24</v>
      </c>
      <c r="C12" s="3" t="s">
        <v>10</v>
      </c>
      <c r="D12" s="4">
        <v>2240000</v>
      </c>
      <c r="E12" s="3" t="s">
        <v>25</v>
      </c>
      <c r="F12" s="3" t="s">
        <v>12</v>
      </c>
    </row>
    <row r="13" spans="1:6" x14ac:dyDescent="0.3">
      <c r="A13" s="2" t="s">
        <v>35</v>
      </c>
      <c r="B13" s="3" t="s">
        <v>9</v>
      </c>
      <c r="C13" s="3" t="s">
        <v>10</v>
      </c>
      <c r="D13" s="4">
        <v>1430000</v>
      </c>
      <c r="E13" s="3" t="s">
        <v>11</v>
      </c>
      <c r="F13" s="3" t="s">
        <v>12</v>
      </c>
    </row>
    <row r="14" spans="1:6" x14ac:dyDescent="0.3">
      <c r="A14" s="2" t="s">
        <v>36</v>
      </c>
      <c r="B14" s="3" t="s">
        <v>18</v>
      </c>
      <c r="C14" s="3" t="s">
        <v>15</v>
      </c>
      <c r="D14" s="4">
        <v>2870000</v>
      </c>
      <c r="E14" s="3" t="s">
        <v>19</v>
      </c>
      <c r="F14" s="3" t="s">
        <v>12</v>
      </c>
    </row>
    <row r="15" spans="1:6" x14ac:dyDescent="0.3">
      <c r="A15" s="2" t="s">
        <v>37</v>
      </c>
      <c r="B15" s="3" t="s">
        <v>24</v>
      </c>
      <c r="C15" s="3" t="s">
        <v>15</v>
      </c>
      <c r="D15" s="4">
        <v>3760000</v>
      </c>
      <c r="E15" s="3" t="s">
        <v>29</v>
      </c>
      <c r="F15" s="3" t="s">
        <v>12</v>
      </c>
    </row>
    <row r="16" spans="1:6" x14ac:dyDescent="0.3">
      <c r="A16" s="2" t="s">
        <v>38</v>
      </c>
      <c r="B16" s="3" t="s">
        <v>9</v>
      </c>
      <c r="C16" s="3" t="s">
        <v>10</v>
      </c>
      <c r="D16" s="4">
        <v>1580000</v>
      </c>
      <c r="E16" s="3" t="s">
        <v>11</v>
      </c>
      <c r="F16" s="3" t="s">
        <v>39</v>
      </c>
    </row>
  </sheetData>
  <mergeCells count="2">
    <mergeCell ref="A1:F1"/>
    <mergeCell ref="A2:C2"/>
  </mergeCells>
  <phoneticPr fontId="4" type="noConversion"/>
  <conditionalFormatting sqref="D4:D16">
    <cfRule type="cellIs" dxfId="1" priority="1" operator="greaterThanOrEqual">
      <formula>3000000</formula>
    </cfRule>
  </conditionalFormatting>
  <dataValidations count="1">
    <dataValidation type="list" allowBlank="1" showInputMessage="1" showErrorMessage="1" sqref="C4:C16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SUMIF(대장!$B$4:$B$16,A3,대장!$D$4:$D$16)</f>
        <v>4030000</v>
      </c>
      <c r="C3" s="6">
        <f>IFERROR(B3/VLOOKUP(A3,기준!$A$3:$B$5,2,FALSE),"")</f>
        <v>0.67166666666666663</v>
      </c>
      <c r="D3" s="4">
        <f>IFERROR(ROUND(IF(SUMIF(대장!$B$4:$B$16,A3,대장!$D$4:$D$16)&gt;=VLOOKUP(A3,기준!$A$3:$B$5,2,FALSE),SUMIF(대장!$B$4:$B$16,A3,대장!$D$4:$D$16)*기준요율+IF(COUNTIF(대장!$B$4:$B$16,A3)&gt;4,성과가산,0),SUMIF(대장!$B$4:$B$16,A3,대장!$D$4:$D$16)*기준요율*0.5),-3),0)</f>
        <v>60000</v>
      </c>
    </row>
    <row r="4" spans="1:4" x14ac:dyDescent="0.3">
      <c r="A4" s="3" t="s">
        <v>18</v>
      </c>
      <c r="B4" s="4">
        <f>SUMIF(대장!$B$4:$B$16,A4,대장!$D$4:$D$16)</f>
        <v>8450000</v>
      </c>
      <c r="C4" s="6">
        <f>IFERROR(B4/VLOOKUP(A4,기준!$A$3:$B$5,2,FALSE),"")</f>
        <v>0.70416666666666672</v>
      </c>
      <c r="D4" s="4">
        <f>IFERROR(ROUND(IF(SUMIF(대장!$B$4:$B$16,A4,대장!$D$4:$D$16)&gt;=VLOOKUP(A4,기준!$A$3:$B$5,2,FALSE),SUMIF(대장!$B$4:$B$16,A4,대장!$D$4:$D$16)*기준요율+IF(COUNTIF(대장!$B$4:$B$16,A4)&gt;4,성과가산,0),SUMIF(대장!$B$4:$B$16,A4,대장!$D$4:$D$16)*기준요율*0.5),-3),0)</f>
        <v>127000</v>
      </c>
    </row>
    <row r="5" spans="1:4" x14ac:dyDescent="0.3">
      <c r="A5" s="3" t="s">
        <v>24</v>
      </c>
      <c r="B5" s="4">
        <f>SUMIF(대장!$B$4:$B$16,A5,대장!$D$4:$D$16)</f>
        <v>12960000</v>
      </c>
      <c r="C5" s="6">
        <f>IFERROR(B5/VLOOKUP(A5,기준!$A$3:$B$5,2,FALSE),"")</f>
        <v>1.1781818181818182</v>
      </c>
      <c r="D5" s="4">
        <f>IFERROR(ROUND(IF(SUMIF(대장!$B$4:$B$16,A5,대장!$D$4:$D$16)&gt;=VLOOKUP(A5,기준!$A$3:$B$5,2,FALSE),SUMIF(대장!$B$4:$B$16,A5,대장!$D$4:$D$16)*기준요율+IF(COUNTIF(대장!$B$4:$B$16,A5)&gt;4,성과가산,0),SUMIF(대장!$B$4:$B$16,A5,대장!$D$4:$D$16)*기준요율*0.5),-3),0)</f>
        <v>389000</v>
      </c>
    </row>
    <row r="7" spans="1:4" x14ac:dyDescent="0.3">
      <c r="A7" s="1" t="s">
        <v>48</v>
      </c>
      <c r="B7" s="4">
        <f>SUM(B3:B5)</f>
        <v>25440000</v>
      </c>
      <c r="D7" s="4">
        <f>SUM(D3:D5)</f>
        <v>576000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6.5" x14ac:dyDescent="0.3"/>
  <cols>
    <col min="1" max="1" width="11.125" bestFit="1" customWidth="1"/>
    <col min="2" max="2" width="8.75" bestFit="1" customWidth="1"/>
    <col min="3" max="3" width="5.5" bestFit="1" customWidth="1"/>
    <col min="4" max="4" width="9.25" bestFit="1" customWidth="1"/>
    <col min="5" max="5" width="7.125" bestFit="1" customWidth="1"/>
    <col min="6" max="6" width="9.625" bestFit="1" customWidth="1"/>
  </cols>
  <sheetData>
    <row r="1" spans="1: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2" t="s">
        <v>8</v>
      </c>
      <c r="B2" s="3" t="s">
        <v>9</v>
      </c>
      <c r="C2" s="3" t="s">
        <v>10</v>
      </c>
      <c r="D2" s="4">
        <v>1240000</v>
      </c>
      <c r="E2" s="3" t="s">
        <v>11</v>
      </c>
      <c r="F2" s="3" t="s">
        <v>12</v>
      </c>
    </row>
    <row r="3" spans="1:6" x14ac:dyDescent="0.3">
      <c r="A3" s="2" t="s">
        <v>13</v>
      </c>
      <c r="B3" s="3" t="s">
        <v>14</v>
      </c>
      <c r="C3" s="3" t="s">
        <v>15</v>
      </c>
      <c r="D3" s="4">
        <v>880000</v>
      </c>
      <c r="E3" s="3" t="s">
        <v>11</v>
      </c>
      <c r="F3" s="3" t="s">
        <v>16</v>
      </c>
    </row>
    <row r="4" spans="1:6" x14ac:dyDescent="0.3">
      <c r="A4" s="2" t="s">
        <v>17</v>
      </c>
      <c r="B4" s="3" t="s">
        <v>18</v>
      </c>
      <c r="C4" s="3" t="s">
        <v>10</v>
      </c>
      <c r="D4" s="4">
        <v>3050000</v>
      </c>
      <c r="E4" s="3" t="s">
        <v>19</v>
      </c>
      <c r="F4" s="3" t="s">
        <v>12</v>
      </c>
    </row>
  </sheetData>
  <phoneticPr fontId="4" type="noConversion"/>
  <conditionalFormatting sqref="D2:D4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2:C4">
      <formula1>"정기,신규"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삭제_2026-09-19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2026-09-21T15:02:59Z</dcterms:modified>
</cp:coreProperties>
</file>