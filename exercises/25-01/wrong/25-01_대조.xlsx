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7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대조" sheetId="8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E6" i="8" l="1"/>
  <c r="E4" i="8"/>
  <c r="E2" i="8"/>
  <c r="E8" i="8" s="1"/>
  <c r="D5" i="3"/>
  <c r="C7" i="8" s="1"/>
  <c r="B5" i="3"/>
  <c r="C5" i="3" s="1"/>
  <c r="D4" i="3"/>
  <c r="C5" i="8" s="1"/>
  <c r="B4" i="3"/>
  <c r="C4" i="3" s="1"/>
  <c r="D3" i="3"/>
  <c r="B3" i="3"/>
  <c r="B7" i="3" s="1"/>
  <c r="C8" i="8" s="1"/>
  <c r="F8" i="8" s="1"/>
  <c r="D7" i="3" l="1"/>
  <c r="C9" i="8" s="1"/>
  <c r="F9" i="8"/>
  <c r="E9" i="8"/>
  <c r="F7" i="8"/>
  <c r="E7" i="8"/>
  <c r="F5" i="8"/>
  <c r="E5" i="8"/>
  <c r="C6" i="8"/>
  <c r="F6" i="8" s="1"/>
  <c r="C2" i="8"/>
  <c r="F2" i="8" s="1"/>
  <c r="C3" i="8"/>
  <c r="C4" i="8"/>
  <c r="F4" i="8" s="1"/>
  <c r="C3" i="3"/>
  <c r="F3" i="8" l="1"/>
  <c r="E3" i="8"/>
</calcChain>
</file>

<file path=xl/sharedStrings.xml><?xml version="1.0" encoding="utf-8"?>
<sst xmlns="http://schemas.openxmlformats.org/spreadsheetml/2006/main" count="168" uniqueCount="73">
  <si>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</si>
  <si>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</si>
  <si>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</si>
  <si>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</si>
  <si>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</si>
  <si>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</si>
  <si>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</si>
  <si>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</si>
  <si>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</si>
  <si>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</si>
  <si>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</si>
  <si>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</si>
  <si>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</si>
  <si>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</si>
  <si>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</si>
  <si>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</si>
  <si>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</si>
  <si>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</si>
  <si>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</si>
  <si>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</si>
  <si>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</si>
  <si>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</si>
  <si>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</si>
  <si>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</si>
  <si>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</si>
  <si>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</si>
  <si>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</si>
  <si>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</si>
  <si>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</si>
  <si>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</si>
  <si>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</si>
  <si>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</si>
  <si>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</si>
  <si>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</si>
  <si>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</si>
  <si>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</si>
  <si>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</si>
  <si>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</si>
  <si>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</si>
  <si>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</si>
  <si>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</si>
  <si>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</si>
  <si>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</si>
  <si>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</si>
  <si>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</si>
  <si>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</si>
  <si>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</si>
  <si>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</si>
  <si>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</si>
  <si>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</si>
  <si>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</si>
  <si>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</si>
  <si>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</si>
  <si>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</si>
  <si>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</si>
  <si>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</si>
  <si>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</si>
  <si>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</si>
  <si>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</si>
  <si>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</si>
  <si>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</si>
  <si>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</si>
  <si>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</si>
  <si>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</si>
  <si>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</si>
  <si>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</si>
  <si>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</si>
  <si>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</si>
  <si>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</si>
  <si>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엑셀</t>
  </si>
  <si>
    <t>화면</t>
  </si>
  <si>
    <t>손으로</t>
  </si>
  <si>
    <t>같은가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</si>
</sst>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9735216"/>
        <c:axId val="2019738480"/>
      </c:barChart>
      <c:catAx>
        <c:axId val="2019735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738480"/>
        <c:crosses val="autoZero"/>
        <c:auto val="1"/>
        <c:lblAlgn val="ctr"/>
        <c:lblOffset val="100"/>
        <c:noMultiLvlLbl val="0"/>
      </c:catAx>
      <c:valAx>
        <c:axId val="20197384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19735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/>
  </sheetViews>
  <sheetFormatPr defaultRowHeight="16.5" x14ac:dyDescent="0.3"/>
  <cols>
    <col min="1" max="1" width="8.125" bestFit="1" customWidth="1"/>
    <col min="3" max="5" width="10.25" bestFit="1" customWidth="1"/>
    <col min="6" max="6" width="7.125" bestFit="1" customWidth="1"/>
  </cols>
  <sheetData>
    <row r="1" spans="1:6" x14ac:dyDescent="0.3">
      <c r="A1" t="s">
        <v>3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3">
      <c r="A2" t="s">
        <v>9</v>
      </c>
      <c r="B2" t="s">
        <v>45</v>
      </c>
      <c r="C2" s="8">
        <f>정산!B3</f>
        <v>5270000</v>
      </c>
      <c r="D2" s="8">
        <v>5270000</v>
      </c>
      <c r="E2" s="8">
        <f>SUMIF(대장!$B$4:$B$19,A2,대장!$D$4:$D$19)</f>
        <v>5270000</v>
      </c>
      <c r="F2" t="str">
        <f>IF(C2=D2,"같음","다름")</f>
        <v>같음</v>
      </c>
    </row>
    <row r="3" spans="1:6" x14ac:dyDescent="0.3">
      <c r="A3" t="s">
        <v>9</v>
      </c>
      <c r="B3" t="s">
        <v>47</v>
      </c>
      <c r="C3" s="8">
        <f>정산!D3</f>
        <v>79000</v>
      </c>
      <c r="D3" s="8">
        <v>79000</v>
      </c>
      <c r="E3" s="8">
        <f>C3</f>
        <v>79000</v>
      </c>
      <c r="F3" t="str">
        <f>IF(C3=D3,"같음","다름")</f>
        <v>같음</v>
      </c>
    </row>
    <row r="4" spans="1:6" x14ac:dyDescent="0.3">
      <c r="A4" t="s">
        <v>18</v>
      </c>
      <c r="B4" t="s">
        <v>45</v>
      </c>
      <c r="C4" s="8">
        <f>정산!B4</f>
        <v>11500000</v>
      </c>
      <c r="D4" s="8">
        <v>11500000</v>
      </c>
      <c r="E4" s="8">
        <f>SUMIF(대장!$B$4:$B$19,A4,대장!$D$4:$D$19)</f>
        <v>11500000</v>
      </c>
      <c r="F4" t="str">
        <f>IF(C4=D4,"같음","다름")</f>
        <v>같음</v>
      </c>
    </row>
    <row r="5" spans="1:6" x14ac:dyDescent="0.3">
      <c r="A5" t="s">
        <v>18</v>
      </c>
      <c r="B5" t="s">
        <v>47</v>
      </c>
      <c r="C5" s="8">
        <f>정산!D4</f>
        <v>173000</v>
      </c>
      <c r="D5" s="8">
        <v>173000</v>
      </c>
      <c r="E5" s="8">
        <f>C5</f>
        <v>173000</v>
      </c>
      <c r="F5" t="str">
        <f>IF(C5=D5,"같음","다름")</f>
        <v>같음</v>
      </c>
    </row>
    <row r="6" spans="1:6" x14ac:dyDescent="0.3">
      <c r="A6" t="s">
        <v>24</v>
      </c>
      <c r="B6" t="s">
        <v>45</v>
      </c>
      <c r="C6" s="8">
        <f>정산!B5</f>
        <v>12960000</v>
      </c>
      <c r="D6" s="8">
        <v>12960000</v>
      </c>
      <c r="E6" s="8">
        <f>SUMIF(대장!$B$4:$B$19,A6,대장!$D$4:$D$19)</f>
        <v>12960000</v>
      </c>
      <c r="F6" t="str">
        <f>IF(C6=D6,"같음","다름")</f>
        <v>같음</v>
      </c>
    </row>
    <row r="7" spans="1:6" x14ac:dyDescent="0.3">
      <c r="A7" t="s">
        <v>24</v>
      </c>
      <c r="B7" t="s">
        <v>47</v>
      </c>
      <c r="C7" s="8">
        <f>정산!D5</f>
        <v>389000</v>
      </c>
      <c r="D7" s="8">
        <v>389000</v>
      </c>
      <c r="E7" s="8">
        <f>C7</f>
        <v>389000</v>
      </c>
      <c r="F7" t="str">
        <f>IF(C7=D7,"같음","다름")</f>
        <v>같음</v>
      </c>
    </row>
    <row r="8" spans="1:6" x14ac:dyDescent="0.3">
      <c r="A8" t="s">
        <v>48</v>
      </c>
      <c r="B8" t="s">
        <v>45</v>
      </c>
      <c r="C8" s="8">
        <f>정산!B7</f>
        <v>29730000</v>
      </c>
      <c r="D8" s="8">
        <v>29730000</v>
      </c>
      <c r="E8" s="8">
        <f>E2+E4+E6</f>
        <v>29730000</v>
      </c>
      <c r="F8" t="str">
        <f>IF(C8=D8,"같음","다름")</f>
        <v>같음</v>
      </c>
    </row>
    <row r="9" spans="1:6" x14ac:dyDescent="0.3">
      <c r="A9" t="s">
        <v>48</v>
      </c>
      <c r="B9" t="s">
        <v>47</v>
      </c>
      <c r="C9" s="8">
        <f>정산!D7</f>
        <v>641000</v>
      </c>
      <c r="D9" s="8">
        <v>641000</v>
      </c>
      <c r="E9" s="8">
        <f>C9</f>
        <v>641000</v>
      </c>
      <c r="F9" t="str">
        <f>IF(C9=D9,"같음","다름")</f>
        <v>같음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대조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2026-09-21T15:03:06Z</dcterms:modified>
</cp:coreProperties>
</file>