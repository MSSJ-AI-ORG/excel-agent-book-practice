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bookViews>
    <workbookView xWindow="240" yWindow="15" windowWidth="16095" windowHeight="9660"/>
  </bookViews>
  <sheets>
    <sheet name="검산" sheetId="3" r:id="rId1"/>
    <sheet name="집계" sheetId="2" r:id="rId2"/>
    <sheet name="매출" sheetId="1" r:id="rId3"/>
  </sheets>
  <calcPr calcId="152511"/>
</workbook>
</file>

<file path=xl/calcChain.xml><?xml version="1.0" encoding="utf-8"?>
<calcChain xmlns="http://schemas.openxmlformats.org/spreadsheetml/2006/main">
  <c r="B1" i="3" l="1"/>
  <c r="C5" i="2"/>
  <c r="C4" i="2"/>
  <c r="B4" i="2"/>
  <c r="C3" i="2"/>
  <c r="B3" i="2"/>
  <c r="C2" i="2"/>
  <c r="B2" i="2"/>
  <c r="B2" i="3" s="1"/>
  <c r="E11" i="1"/>
  <c r="E10" i="1"/>
  <c r="E9" i="1"/>
  <c r="E8" i="1"/>
  <c r="B5" i="2" s="1"/>
  <c r="E7" i="1"/>
  <c r="E6" i="1"/>
  <c r="E5" i="1"/>
  <c r="E4" i="1"/>
  <c r="E3" i="1"/>
  <c r="E2" i="1"/>
  <c r="E12" i="1" l="1"/>
  <c r="B5" i="3" s="1"/>
  <c r="C6" i="2"/>
  <c r="B6" i="2"/>
  <c r="B4" i="3" s="1"/>
  <c r="B6" i="3" s="1"/>
</calcChain>
</file>

<file path=xl/sharedStrings.xml><?xml version="1.0" encoding="utf-8"?>
<sst xmlns="http://schemas.openxmlformats.org/spreadsheetml/2006/main" count="40" uniqueCount="22">
  <si>
    <t>담당자</t>
  </si>
  <si>
    <t>품목</t>
  </si>
  <si>
    <t>수량</t>
  </si>
  <si>
    <t>단가</t>
  </si>
  <si>
    <t>금액</t>
  </si>
  <si>
    <t>이현우</t>
  </si>
  <si>
    <t>노트북</t>
  </si>
  <si>
    <t>강민서</t>
  </si>
  <si>
    <t>모니터</t>
  </si>
  <si>
    <t>키보드</t>
  </si>
  <si>
    <t>서지호</t>
  </si>
  <si>
    <t>마우스</t>
  </si>
  <si>
    <t>한소율</t>
  </si>
  <si>
    <t>합계</t>
  </si>
  <si>
    <t>건수</t>
  </si>
  <si>
    <t>손 검산(이현우)</t>
  </si>
  <si>
    <t>집계의 이현우 금액</t>
  </si>
  <si>
    <t>음성 대조(A4 를 바꾸었을 때 이현우 금액)</t>
  </si>
  <si>
    <t>집계 합계</t>
  </si>
  <si>
    <t>매출 합계</t>
  </si>
  <si>
    <t>같은가</t>
  </si>
  <si>
    <t>이현우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</si>
</sst>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/>
  </sheetViews>
  <sheetFormatPr defaultRowHeight="16.5" x14ac:dyDescent="0.3"/>
  <sheetData>
    <row r="1" spans="1:2" x14ac:dyDescent="0.3">
      <c r="A1" t="s">
        <v>15</v>
      </c>
      <c r="B1">
        <f>3870000+1068000+256000</f>
        <v>5194000</v>
      </c>
    </row>
    <row r="2" spans="1:2" x14ac:dyDescent="0.3">
      <c r="A2" t="s">
        <v>16</v>
      </c>
      <c r="B2">
        <f>집계!B2</f>
        <v>5194000</v>
      </c>
    </row>
    <row r="3" spans="1:2" x14ac:dyDescent="0.3">
      <c r="A3" t="s">
        <v>17</v>
      </c>
      <c r="B3">
        <v>4126000</v>
      </c>
    </row>
    <row r="4" spans="1:2" x14ac:dyDescent="0.3">
      <c r="A4" t="s">
        <v>18</v>
      </c>
      <c r="B4">
        <f>집계!B6</f>
        <v>11874000</v>
      </c>
    </row>
    <row r="5" spans="1:2" x14ac:dyDescent="0.3">
      <c r="A5" t="s">
        <v>19</v>
      </c>
      <c r="B5">
        <f>매출!E12</f>
        <v>13338000</v>
      </c>
    </row>
    <row r="6" spans="1:2" x14ac:dyDescent="0.3">
      <c r="A6" t="s">
        <v>20</v>
      </c>
      <c r="B6" t="str">
        <f>IF(B4=B5,"같음","다름")</f>
        <v>다름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6.5" x14ac:dyDescent="0.3"/>
  <sheetData>
    <row r="1" spans="1:3" x14ac:dyDescent="0.3">
      <c r="A1" t="s">
        <v>0</v>
      </c>
      <c r="B1" t="s">
        <v>4</v>
      </c>
      <c r="C1" t="s">
        <v>14</v>
      </c>
    </row>
    <row r="2" spans="1:3" x14ac:dyDescent="0.3">
      <c r="A2" t="s">
        <v>5</v>
      </c>
      <c r="B2">
        <f>SUMIF(매출!$A$2:$A$11,A2,매출!$E$2:$E$11)</f>
        <v>5194000</v>
      </c>
      <c r="C2">
        <f>COUNTIF(매출!$A$2:$A$11,A2)</f>
        <v>3</v>
      </c>
    </row>
    <row r="3" spans="1:3" x14ac:dyDescent="0.3">
      <c r="A3" t="s">
        <v>7</v>
      </c>
      <c r="B3">
        <f>SUMIF(매출!$A$2:$A$11,A3,매출!$E$2:$E$11)</f>
        <v>4130000</v>
      </c>
      <c r="C3">
        <f>COUNTIF(매출!$A$2:$A$11,A3)</f>
        <v>2</v>
      </c>
    </row>
    <row r="4" spans="1:3" x14ac:dyDescent="0.3">
      <c r="A4" t="s">
        <v>10</v>
      </c>
      <c r="B4">
        <f>SUMIF(매출!$A$2:$A$11,A4,매출!$E$2:$E$11)</f>
        <v>2550000</v>
      </c>
      <c r="C4">
        <f>COUNTIF(매출!$A$2:$A$11,A4)</f>
        <v>3</v>
      </c>
    </row>
    <row r="5" spans="1:3" x14ac:dyDescent="0.3">
      <c r="A5" t="s">
        <v>12</v>
      </c>
      <c r="B5">
        <f>SUMIF(매출!$A$2:$A$11,A5,매출!$E$2:$E$11)</f>
        <v>1464000</v>
      </c>
      <c r="C5">
        <f>COUNTIF(매출!$A$2:$A$11,A5)</f>
        <v>2</v>
      </c>
    </row>
    <row r="6" spans="1:3" x14ac:dyDescent="0.3">
      <c r="A6" t="s">
        <v>13</v>
      </c>
      <c r="B6">
        <f>SUM(B2:B4)</f>
        <v>11874000</v>
      </c>
      <c r="C6">
        <f>SUM(C2:C5)</f>
        <v>10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/>
  </sheetViews>
  <sheetFormatPr defaultRowHeight="16.5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3</v>
      </c>
      <c r="D2">
        <v>1290000</v>
      </c>
      <c r="E2">
        <f t="shared" ref="E2:E11" si="0">C2*D2</f>
        <v>3870000</v>
      </c>
    </row>
    <row r="3" spans="1:5" x14ac:dyDescent="0.3">
      <c r="A3" t="s">
        <v>7</v>
      </c>
      <c r="B3" t="s">
        <v>8</v>
      </c>
      <c r="C3">
        <v>5</v>
      </c>
      <c r="D3">
        <v>310000</v>
      </c>
      <c r="E3">
        <f t="shared" si="0"/>
        <v>1550000</v>
      </c>
    </row>
    <row r="4" spans="1:5" x14ac:dyDescent="0.3">
      <c r="A4" t="s">
        <v>21</v>
      </c>
      <c r="B4" t="s">
        <v>9</v>
      </c>
      <c r="C4">
        <v>12</v>
      </c>
      <c r="D4">
        <v>89000</v>
      </c>
      <c r="E4">
        <f t="shared" si="0"/>
        <v>1068000</v>
      </c>
    </row>
    <row r="5" spans="1:5" x14ac:dyDescent="0.3">
      <c r="A5" t="s">
        <v>10</v>
      </c>
      <c r="B5" t="s">
        <v>6</v>
      </c>
      <c r="C5">
        <v>1</v>
      </c>
      <c r="D5">
        <v>1290000</v>
      </c>
      <c r="E5">
        <f t="shared" si="0"/>
        <v>1290000</v>
      </c>
    </row>
    <row r="6" spans="1:5" x14ac:dyDescent="0.3">
      <c r="A6" t="s">
        <v>7</v>
      </c>
      <c r="B6" t="s">
        <v>6</v>
      </c>
      <c r="C6">
        <v>2</v>
      </c>
      <c r="D6">
        <v>1290000</v>
      </c>
      <c r="E6">
        <f t="shared" si="0"/>
        <v>2580000</v>
      </c>
    </row>
    <row r="7" spans="1:5" x14ac:dyDescent="0.3">
      <c r="A7" t="s">
        <v>10</v>
      </c>
      <c r="B7" t="s">
        <v>11</v>
      </c>
      <c r="C7">
        <v>20</v>
      </c>
      <c r="D7">
        <v>32000</v>
      </c>
      <c r="E7">
        <f t="shared" si="0"/>
        <v>640000</v>
      </c>
    </row>
    <row r="8" spans="1:5" x14ac:dyDescent="0.3">
      <c r="A8" t="s">
        <v>12</v>
      </c>
      <c r="B8" t="s">
        <v>8</v>
      </c>
      <c r="C8">
        <v>3</v>
      </c>
      <c r="D8">
        <v>310000</v>
      </c>
      <c r="E8">
        <f t="shared" si="0"/>
        <v>930000</v>
      </c>
    </row>
    <row r="9" spans="1:5" x14ac:dyDescent="0.3">
      <c r="A9" t="s">
        <v>5</v>
      </c>
      <c r="B9" t="s">
        <v>11</v>
      </c>
      <c r="C9">
        <v>8</v>
      </c>
      <c r="D9">
        <v>32000</v>
      </c>
      <c r="E9">
        <f t="shared" si="0"/>
        <v>256000</v>
      </c>
    </row>
    <row r="10" spans="1:5" x14ac:dyDescent="0.3">
      <c r="A10" t="s">
        <v>12</v>
      </c>
      <c r="B10" t="s">
        <v>9</v>
      </c>
      <c r="C10">
        <v>6</v>
      </c>
      <c r="D10">
        <v>89000</v>
      </c>
      <c r="E10">
        <f t="shared" si="0"/>
        <v>534000</v>
      </c>
    </row>
    <row r="11" spans="1:5" x14ac:dyDescent="0.3">
      <c r="A11" t="s">
        <v>10</v>
      </c>
      <c r="B11" t="s">
        <v>8</v>
      </c>
      <c r="C11">
        <v>2</v>
      </c>
      <c r="D11">
        <v>310000</v>
      </c>
      <c r="E11">
        <f t="shared" si="0"/>
        <v>620000</v>
      </c>
    </row>
    <row r="12" spans="1:5" x14ac:dyDescent="0.3">
      <c r="D12" t="s">
        <v>13</v>
      </c>
      <c r="E12">
        <f>SUM(E2:E11)</f>
        <v>13338000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검산</vt:lpstr>
      <vt:lpstr>집계</vt:lpstr>
      <vt:lpstr>매출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이번 달 매출</dc:title>
  <dc:creator/>
  <dc:description/>
  <cp:lastModifiedBy/>
  <dcterms:created xsi:type="dcterms:W3CDTF">2026-09-19T11:07:02Z</dcterms:created>
  <dcterms:modified xsi:type="dcterms:W3CDTF">2026-09-21T14:58:45Z</dcterms:modified>
</cp:coreProperties>
</file>