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8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사기" sheetId="8" r:id="rId8"/>
    <sheet name="검사이력" sheetId="9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8" l="1"/>
  <c r="D9" i="8" s="1"/>
  <c r="B8" i="8"/>
  <c r="D8" i="8" s="1"/>
  <c r="B7" i="8"/>
  <c r="D7" i="8" s="1"/>
  <c r="B6" i="8"/>
  <c r="D6" i="8" s="1"/>
  <c r="B5" i="8"/>
  <c r="D5" i="8" s="1"/>
  <c r="B4" i="8"/>
  <c r="D4" i="8" s="1"/>
  <c r="B3" i="8"/>
  <c r="D3" i="8" s="1"/>
  <c r="B2" i="8"/>
  <c r="D2" i="8" s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<sst xmlns="http://schemas.openxmlformats.org/spreadsheetml/2006/main" count="165" uniqueCount="87">
  <si>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</si>
  <si>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</si>
  <si>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</si>
  <si>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</si>
  <si>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</si>
  <si>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</si>
  <si>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</si>
  <si>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</si>
  <si>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</si>
  <si>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</si>
  <si>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</si>
  <si>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</si>
  <si>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</si>
  <si>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</si>
  <si>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</si>
  <si>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</si>
  <si>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</si>
  <si>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</si>
  <si>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</si>
  <si>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</si>
  <si>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</si>
  <si>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</si>
  <si>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</si>
  <si>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</si>
  <si>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</si>
  <si>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</si>
  <si>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</si>
  <si>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</si>
  <si>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</si>
  <si>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</si>
  <si>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</si>
  <si>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</si>
  <si>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</si>
  <si>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</si>
  <si>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</si>
  <si>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</si>
  <si>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</si>
  <si>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</si>
  <si>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</si>
  <si>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</si>
  <si>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</si>
  <si>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</si>
  <si>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</si>
  <si>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</si>
  <si>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</si>
  <si>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</si>
  <si>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</si>
  <si>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</si>
  <si>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</si>
  <si>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</si>
  <si>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</si>
  <si>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</si>
  <si>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</si>
  <si>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</si>
  <si>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</si>
  <si>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</si>
  <si>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</si>
  <si>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</si>
  <si>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</si>
  <si>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</si>
  <si>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</si>
  <si>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</si>
  <si>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</si>
  <si>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</si>
  <si>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</si>
  <si>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</si>
  <si>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</si>
  <si>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</si>
  <si>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</si>
  <si>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</si>
  <si>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</si>
  <si>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</si>
  <si>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</si>
  <si>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</si>
  <si>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</si>
  <si>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</si>
  <si>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</si>
  <si>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</si>
  <si>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</si>
  <si>
    <t>날짜</t>
  </si>
  <si>
    <t>항목 수</t>
  </si>
  <si>
    <t>통과</t>
  </si>
  <si>
    <t>확인이 뜬 것</t>
  </si>
  <si>
    <t>2026-09-22 심기 전</t>
  </si>
  <si>
    <t>—</t>
  </si>
  <si>
    <t>2026-09-22 심은 뒤</t>
  </si>
  <si>
    <t>금액 총합, 금액이 음수인 줄 수, 부서는 있는데 담당이 빈 줄 수, 중복 줄 수(일자+부서+금액이 같은 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</si>
</sst>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20272"/>
        <c:axId val="2111619728"/>
      </c:barChart>
      <c:catAx>
        <c:axId val="211162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19728"/>
        <c:crosses val="autoZero"/>
        <c:auto val="1"/>
        <c:lblAlgn val="ctr"/>
        <c:lblOffset val="100"/>
        <c:noMultiLvlLbl val="0"/>
      </c:catAx>
      <c:valAx>
        <c:axId val="21116197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2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8" t="s">
        <v>0</v>
      </c>
      <c r="B1" s="8"/>
      <c r="C1" s="8"/>
      <c r="D1" s="8"/>
      <c r="E1" s="8"/>
      <c r="F1" s="8"/>
    </row>
    <row r="2" spans="1:6" x14ac:dyDescent="0.3">
      <c r="A2" s="8" t="s">
        <v>1</v>
      </c>
      <c r="B2" s="8"/>
      <c r="C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-2650000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/>
      <c r="F11" s="3" t="s">
        <v>12</v>
      </c>
    </row>
    <row r="13" spans="1:6" x14ac:dyDescent="0.3">
      <c r="A13" s="2" t="s">
        <v>20</v>
      </c>
      <c r="B13" s="3" t="s">
        <v>18</v>
      </c>
      <c r="C13" s="3" t="s">
        <v>15</v>
      </c>
      <c r="D13" s="4">
        <v>2100000</v>
      </c>
      <c r="E13" s="3" t="s">
        <v>19</v>
      </c>
      <c r="F13" s="3" t="s">
        <v>12</v>
      </c>
    </row>
    <row r="14" spans="1:6" x14ac:dyDescent="0.3">
      <c r="A14" s="2" t="s">
        <v>30</v>
      </c>
      <c r="B14" s="3" t="s">
        <v>31</v>
      </c>
      <c r="C14" s="3" t="s">
        <v>15</v>
      </c>
      <c r="D14" s="4">
        <v>1950000</v>
      </c>
      <c r="E14" s="3" t="s">
        <v>29</v>
      </c>
      <c r="F14" s="3" t="s">
        <v>32</v>
      </c>
    </row>
    <row r="15" spans="1:6" x14ac:dyDescent="0.3">
      <c r="A15" s="2" t="s">
        <v>33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34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35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36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37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38</v>
      </c>
    </row>
  </sheetData>
  <mergeCells count="2">
    <mergeCell ref="A1:F1"/>
    <mergeCell ref="A2:C2"/>
  </mergeCells>
  <phoneticPr fontId="4" type="noConversion"/>
  <conditionalFormatting sqref="D4:D12 D14:D19">
    <cfRule type="cellIs" dxfId="1" priority="2" operator="greaterThanOrEqual">
      <formula>3000000</formula>
    </cfRule>
  </conditionalFormatting>
  <conditionalFormatting sqref="D13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39</v>
      </c>
    </row>
    <row r="2" spans="1:3" x14ac:dyDescent="0.3">
      <c r="A2" s="1" t="s">
        <v>3</v>
      </c>
      <c r="B2" s="1" t="s">
        <v>40</v>
      </c>
      <c r="C2" s="1" t="s">
        <v>41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42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43</v>
      </c>
    </row>
    <row r="2" spans="1:4" x14ac:dyDescent="0.3">
      <c r="A2" s="1" t="s">
        <v>3</v>
      </c>
      <c r="B2" s="1" t="s">
        <v>44</v>
      </c>
      <c r="C2" s="1" t="s">
        <v>45</v>
      </c>
      <c r="D2" s="1" t="s">
        <v>46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10120000</v>
      </c>
      <c r="C4" s="6">
        <f>IFERROR(B4/VLOOKUP(A4,기준!$A$3:$B$5,2,FALSE),"")</f>
        <v>0.84333333333333338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152000</v>
      </c>
    </row>
    <row r="5" spans="1:4" x14ac:dyDescent="0.3">
      <c r="A5" s="3" t="s">
        <v>24</v>
      </c>
      <c r="B5" s="4">
        <f>SUMIF(대장!$B$4:$B$19,A5,대장!$D$4:$D$19)</f>
        <v>7660000</v>
      </c>
      <c r="C5" s="6">
        <f>IFERROR(B5/VLOOKUP(A5,기준!$A$3:$B$5,2,FALSE),"")</f>
        <v>0.69636363636363641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115000</v>
      </c>
    </row>
    <row r="7" spans="1:4" x14ac:dyDescent="0.3">
      <c r="A7" s="1" t="s">
        <v>47</v>
      </c>
      <c r="B7" s="4">
        <f>SUM(B3:B5)</f>
        <v>23050000</v>
      </c>
      <c r="D7" s="4">
        <f>SUM(D3:D5)</f>
        <v>346000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48</v>
      </c>
      <c r="B1" t="s">
        <v>49</v>
      </c>
    </row>
    <row r="2" spans="1:2" x14ac:dyDescent="0.3">
      <c r="A2" s="3" t="s">
        <v>50</v>
      </c>
      <c r="B2" s="4">
        <v>5170000</v>
      </c>
    </row>
    <row r="3" spans="1:2" x14ac:dyDescent="0.3">
      <c r="A3" s="3" t="s">
        <v>51</v>
      </c>
      <c r="B3" s="4">
        <v>8170000</v>
      </c>
    </row>
    <row r="4" spans="1:2" x14ac:dyDescent="0.3">
      <c r="A4" s="3" t="s">
        <v>52</v>
      </c>
      <c r="B4" s="4">
        <v>9340000</v>
      </c>
    </row>
    <row r="5" spans="1:2" x14ac:dyDescent="0.3">
      <c r="A5" s="3" t="s">
        <v>53</v>
      </c>
      <c r="B5" s="4">
        <v>6540000</v>
      </c>
    </row>
    <row r="6" spans="1:2" x14ac:dyDescent="0.3">
      <c r="A6" s="3" t="s">
        <v>54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s="3" t="s">
        <v>11</v>
      </c>
      <c r="B2" s="3" t="s">
        <v>9</v>
      </c>
      <c r="C2" s="2" t="s">
        <v>58</v>
      </c>
    </row>
    <row r="3" spans="1:3" x14ac:dyDescent="0.3">
      <c r="A3" s="3" t="s">
        <v>19</v>
      </c>
      <c r="B3" s="3" t="s">
        <v>18</v>
      </c>
      <c r="C3" s="2" t="s">
        <v>59</v>
      </c>
    </row>
    <row r="4" spans="1:3" x14ac:dyDescent="0.3">
      <c r="A4" s="3" t="s">
        <v>25</v>
      </c>
      <c r="B4" s="3" t="s">
        <v>24</v>
      </c>
      <c r="C4" s="2" t="s">
        <v>60</v>
      </c>
    </row>
    <row r="5" spans="1:3" x14ac:dyDescent="0.3">
      <c r="A5" s="3" t="s">
        <v>29</v>
      </c>
      <c r="B5" s="3" t="s">
        <v>9</v>
      </c>
      <c r="C5" s="2" t="s">
        <v>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62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67</v>
      </c>
      <c r="B1" t="s">
        <v>68</v>
      </c>
      <c r="C1" t="s">
        <v>69</v>
      </c>
      <c r="D1" t="s">
        <v>70</v>
      </c>
    </row>
    <row r="2" spans="1:4" x14ac:dyDescent="0.3">
      <c r="A2" t="s">
        <v>71</v>
      </c>
      <c r="B2" s="7">
        <f>COUNTA(대장!B4:B19)</f>
        <v>15</v>
      </c>
      <c r="C2" s="7">
        <v>15</v>
      </c>
      <c r="D2" t="str">
        <f t="shared" ref="D2:D9" si="0">IF(B2=C2,"통과","확인")</f>
        <v>통과</v>
      </c>
    </row>
    <row r="3" spans="1:4" x14ac:dyDescent="0.3">
      <c r="A3" t="s">
        <v>72</v>
      </c>
      <c r="B3" s="7">
        <f>SUM(대장!D4:D19)</f>
        <v>27640000</v>
      </c>
      <c r="C3" s="7">
        <v>34320000</v>
      </c>
      <c r="D3" t="str">
        <f t="shared" si="0"/>
        <v>확인</v>
      </c>
    </row>
    <row r="4" spans="1:4" x14ac:dyDescent="0.3">
      <c r="A4" t="s">
        <v>73</v>
      </c>
      <c r="B4" s="7">
        <f>COUNTIFS(대장!B4:B19,"&lt;&gt;",대장!D4:D19,"")</f>
        <v>0</v>
      </c>
      <c r="C4" s="7">
        <v>0</v>
      </c>
      <c r="D4" t="str">
        <f t="shared" si="0"/>
        <v>통과</v>
      </c>
    </row>
    <row r="5" spans="1:4" x14ac:dyDescent="0.3">
      <c r="A5" t="s">
        <v>74</v>
      </c>
      <c r="B5" s="7">
        <f>COUNTIF(대장!D4:D19,"&lt;0")</f>
        <v>1</v>
      </c>
      <c r="C5" s="7">
        <v>0</v>
      </c>
      <c r="D5" t="str">
        <f t="shared" si="0"/>
        <v>확인</v>
      </c>
    </row>
    <row r="6" spans="1:4" x14ac:dyDescent="0.3">
      <c r="A6" t="s">
        <v>75</v>
      </c>
      <c r="B6" s="7">
        <f>COUNTIF(대장!D4:D19,"&gt;100000000")</f>
        <v>0</v>
      </c>
      <c r="C6" s="7">
        <v>0</v>
      </c>
      <c r="D6" t="str">
        <f t="shared" si="0"/>
        <v>통과</v>
      </c>
    </row>
    <row r="7" spans="1:4" x14ac:dyDescent="0.3">
      <c r="A7" t="s">
        <v>76</v>
      </c>
      <c r="B7" s="7">
        <f>SUMPRODUCT((대장!B4:B19&lt;&gt;"")/COUNTIF(대장!B4:B19,대장!B4:B19&amp;""))</f>
        <v>6</v>
      </c>
      <c r="C7" s="7">
        <v>6</v>
      </c>
      <c r="D7" t="str">
        <f t="shared" si="0"/>
        <v>통과</v>
      </c>
    </row>
    <row r="8" spans="1:4" x14ac:dyDescent="0.3">
      <c r="A8" t="s">
        <v>77</v>
      </c>
      <c r="B8" s="7">
        <f>COUNTIFS(대장!B4:B19,"&lt;&gt;",대장!E4:E19,"")</f>
        <v>1</v>
      </c>
      <c r="C8" s="7">
        <v>0</v>
      </c>
      <c r="D8" t="str">
        <f t="shared" si="0"/>
        <v>확인</v>
      </c>
    </row>
    <row r="9" spans="1:4" x14ac:dyDescent="0.3">
      <c r="A9" t="s">
        <v>78</v>
      </c>
      <c r="B9" s="7">
        <f>SUMPRODUCT((대장!B4:B19&lt;&gt;"")*(COUNTIFS(대장!A4:A19,대장!A4:A19,대장!B4:B19,대장!B4:B19,대장!D4:D19,대장!D4:D19)&gt;1))</f>
        <v>2</v>
      </c>
      <c r="C9" s="7">
        <v>0</v>
      </c>
      <c r="D9" t="str">
        <f t="shared" si="0"/>
        <v>확인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6.5" x14ac:dyDescent="0.3"/>
  <cols>
    <col min="1" max="1" width="18.75" bestFit="1" customWidth="1"/>
    <col min="2" max="2" width="7.75" bestFit="1" customWidth="1"/>
    <col min="3" max="3" width="5.25" bestFit="1" customWidth="1"/>
    <col min="4" max="4" width="96.375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>
        <v>8</v>
      </c>
      <c r="C2">
        <v>8</v>
      </c>
      <c r="D2" t="s">
        <v>84</v>
      </c>
    </row>
    <row r="3" spans="1:4" x14ac:dyDescent="0.3">
      <c r="A3" t="s">
        <v>85</v>
      </c>
      <c r="B3">
        <v>8</v>
      </c>
      <c r="C3">
        <v>4</v>
      </c>
      <c r="D3" t="s">
        <v>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검사기</vt:lpstr>
      <vt:lpstr>검사이력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2026-09-21T15:03:02Z</dcterms:modified>
</cp:coreProperties>
</file>