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9" r:id="rId1"/>
    <sheet name="정리 전" sheetId="8" r:id="rId2"/>
    <sheet name="대장" sheetId="1" r:id="rId3"/>
    <sheet name="기준" sheetId="2" r:id="rId4"/>
    <sheet name="정산" sheetId="3" r:id="rId5"/>
    <sheet name="월별" sheetId="4" r:id="rId6"/>
    <sheet name="담당자" sheetId="5" r:id="rId7"/>
    <sheet name="백업_0402" sheetId="6" r:id="rId8"/>
    <sheet name="읽어주세요" sheetId="7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C9" i="9" l="1"/>
  <c r="B9" i="9"/>
  <c r="C8" i="9"/>
  <c r="B8" i="9"/>
  <c r="D8" i="9" s="1"/>
  <c r="C7" i="9"/>
  <c r="B7" i="9"/>
  <c r="D7" i="9" s="1"/>
  <c r="D5" i="3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<sst xmlns="http://schemas.openxmlformats.org/spreadsheetml/2006/main" count="166" uniqueCount="83">
  <si>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</si>
  <si>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</si>
  <si>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</si>
  <si>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</si>
  <si>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</si>
  <si>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</si>
  <si>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</si>
  <si>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</si>
  <si>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</si>
  <si>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</si>
  <si>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</si>
  <si>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</si>
  <si>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</si>
  <si>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</si>
  <si>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</si>
  <si>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</si>
  <si>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</si>
  <si>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</si>
  <si>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</si>
  <si>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</si>
  <si>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</si>
  <si>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</si>
  <si>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</si>
  <si>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</si>
  <si>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</si>
  <si>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</si>
  <si>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</si>
  <si>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</si>
  <si>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</si>
  <si>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</si>
  <si>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</si>
  <si>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</si>
  <si>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</si>
  <si>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</si>
  <si>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</si>
  <si>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</si>
  <si>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</si>
  <si>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</si>
  <si>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</si>
  <si>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</si>
  <si>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</si>
  <si>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</si>
  <si>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</si>
  <si>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</si>
  <si>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</si>
  <si>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</si>
  <si>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</si>
  <si>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</si>
  <si>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</si>
  <si>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</si>
  <si>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</si>
  <si>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</si>
  <si>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</si>
  <si>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</si>
  <si>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</si>
  <si>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</si>
  <si>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</si>
  <si>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</si>
  <si>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</si>
  <si>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</si>
  <si>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</si>
  <si>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</si>
  <si>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</si>
  <si>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</si>
  <si>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</si>
  <si>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</si>
  <si>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</si>
  <si>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영업1팀</t>
    <phoneticPr fontId="4" type="noConversion"/>
  </si>
  <si>
    <t>영업1팀</t>
    <phoneticPr fontId="4" type="noConversion"/>
  </si>
  <si>
    <t>영업2팀</t>
    <phoneticPr fontId="4" type="noConversion"/>
  </si>
  <si>
    <t>항목</t>
  </si>
  <si>
    <t>값</t>
  </si>
  <si>
    <t>부서가 적힌 행 수</t>
  </si>
  <si>
    <t>금액 합계</t>
  </si>
  <si>
    <t>부서 표기 수</t>
  </si>
  <si>
    <t>부서 표기</t>
  </si>
  <si>
    <t>건수</t>
  </si>
  <si>
    <t>검산 날짜</t>
  </si>
  <si>
    <t>고친 것 1: 대장 B열 부서 이름의 공백을 모두 뺐다</t>
  </si>
  <si>
    <t>정리 전</t>
  </si>
  <si>
    <t>정리 후</t>
  </si>
  <si>
    <t>같은가</t>
  </si>
  <si>
    <t>3가지가 되어야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</si>
</sst>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8589824"/>
        <c:axId val="1808592000"/>
      </c:barChart>
      <c:catAx>
        <c:axId val="1808589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08592000"/>
        <c:crosses val="autoZero"/>
        <c:auto val="1"/>
        <c:lblAlgn val="ctr"/>
        <c:lblOffset val="100"/>
        <c:noMultiLvlLbl val="0"/>
      </c:catAx>
      <c:valAx>
        <c:axId val="18085920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08589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2" max="2" width="11.125" bestFit="1" customWidth="1"/>
  </cols>
  <sheetData>
    <row r="1" spans="1:4" x14ac:dyDescent="0.3">
      <c r="A1" t="s">
        <v>77</v>
      </c>
      <c r="B1" s="9">
        <v>46286</v>
      </c>
    </row>
    <row r="2" spans="1:4" x14ac:dyDescent="0.3">
      <c r="A2" t="s">
        <v>78</v>
      </c>
    </row>
    <row r="6" spans="1:4" x14ac:dyDescent="0.3">
      <c r="A6" t="s">
        <v>70</v>
      </c>
      <c r="B6" t="s">
        <v>79</v>
      </c>
      <c r="C6" t="s">
        <v>80</v>
      </c>
      <c r="D6" t="s">
        <v>81</v>
      </c>
    </row>
    <row r="7" spans="1:4" x14ac:dyDescent="0.3">
      <c r="A7" t="s">
        <v>72</v>
      </c>
      <c r="B7">
        <f>'정리 전'!B2</f>
        <v>15</v>
      </c>
      <c r="C7">
        <f>COUNTA(대장!B4:B19)</f>
        <v>15</v>
      </c>
      <c r="D7" t="str">
        <f>IF(B7=C7,"같음","다름")</f>
        <v>같음</v>
      </c>
    </row>
    <row r="8" spans="1:4" x14ac:dyDescent="0.3">
      <c r="A8" t="s">
        <v>73</v>
      </c>
      <c r="B8" s="8">
        <f>'정리 전'!B3</f>
        <v>34320000</v>
      </c>
      <c r="C8" s="8">
        <f>SUM(대장!D4:D19)</f>
        <v>34320000</v>
      </c>
      <c r="D8" t="str">
        <f>IF(B8=C8,"같음","다름")</f>
        <v>같음</v>
      </c>
    </row>
    <row r="9" spans="1:4" x14ac:dyDescent="0.3">
      <c r="A9" t="s">
        <v>74</v>
      </c>
      <c r="B9">
        <f>'정리 전'!B4</f>
        <v>3</v>
      </c>
      <c r="C9">
        <f>SUMPRODUCT((대장!B4:B19&lt;&gt;"")/COUNTIF(대장!B4:B19,대장!B4:B19&amp;""))</f>
        <v>3</v>
      </c>
      <c r="D9" t="s">
        <v>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6.5" x14ac:dyDescent="0.3"/>
  <sheetData>
    <row r="1" spans="1:2" x14ac:dyDescent="0.3">
      <c r="A1" t="s">
        <v>70</v>
      </c>
      <c r="B1" t="s">
        <v>71</v>
      </c>
    </row>
    <row r="2" spans="1:2" x14ac:dyDescent="0.3">
      <c r="A2" t="s">
        <v>72</v>
      </c>
      <c r="B2">
        <v>15</v>
      </c>
    </row>
    <row r="3" spans="1:2" x14ac:dyDescent="0.3">
      <c r="A3" t="s">
        <v>73</v>
      </c>
      <c r="B3" s="8">
        <v>34320000</v>
      </c>
    </row>
    <row r="4" spans="1:2" x14ac:dyDescent="0.3">
      <c r="A4" t="s">
        <v>74</v>
      </c>
      <c r="B4">
        <v>3</v>
      </c>
    </row>
    <row r="6" spans="1:2" x14ac:dyDescent="0.3">
      <c r="A6" t="s">
        <v>75</v>
      </c>
      <c r="B6" t="s">
        <v>76</v>
      </c>
    </row>
    <row r="7" spans="1:2" x14ac:dyDescent="0.3">
      <c r="A7" t="s">
        <v>9</v>
      </c>
      <c r="B7">
        <v>6</v>
      </c>
    </row>
    <row r="8" spans="1:2" x14ac:dyDescent="0.3">
      <c r="A8" t="s">
        <v>18</v>
      </c>
      <c r="B8">
        <v>5</v>
      </c>
    </row>
    <row r="9" spans="1:2" x14ac:dyDescent="0.3">
      <c r="A9" t="s">
        <v>24</v>
      </c>
      <c r="B9">
        <v>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67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68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69</v>
      </c>
      <c r="C14" s="3" t="s">
        <v>15</v>
      </c>
      <c r="D14" s="4">
        <v>1950000</v>
      </c>
      <c r="E14" s="3" t="s">
        <v>29</v>
      </c>
      <c r="F14" s="3" t="s">
        <v>32</v>
      </c>
    </row>
    <row r="15" spans="1:6" x14ac:dyDescent="0.3">
      <c r="A15" s="2" t="s">
        <v>33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34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35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36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37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38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39</v>
      </c>
    </row>
    <row r="2" spans="1:3" x14ac:dyDescent="0.3">
      <c r="A2" s="1" t="s">
        <v>3</v>
      </c>
      <c r="B2" s="1" t="s">
        <v>40</v>
      </c>
      <c r="C2" s="1" t="s">
        <v>41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42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43</v>
      </c>
    </row>
    <row r="2" spans="1:4" x14ac:dyDescent="0.3">
      <c r="A2" s="1" t="s">
        <v>3</v>
      </c>
      <c r="B2" s="1" t="s">
        <v>44</v>
      </c>
      <c r="C2" s="1" t="s">
        <v>45</v>
      </c>
      <c r="D2" s="1" t="s">
        <v>46</v>
      </c>
    </row>
    <row r="3" spans="1:4" x14ac:dyDescent="0.3">
      <c r="A3" s="3" t="s">
        <v>9</v>
      </c>
      <c r="B3" s="4">
        <f>SUMIF(대장!$B$4:$B$19,A3,대장!$D$4:$D$19)</f>
        <v>7910000</v>
      </c>
      <c r="C3" s="6">
        <f>IFERROR(B3/VLOOKUP(A3,기준!$A$3:$B$5,2,FALSE),"")</f>
        <v>1.3183333333333334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537000</v>
      </c>
    </row>
    <row r="4" spans="1:4" x14ac:dyDescent="0.3">
      <c r="A4" s="3" t="s">
        <v>18</v>
      </c>
      <c r="B4" s="4">
        <f>SUMIF(대장!$B$4:$B$19,A4,대장!$D$4:$D$19)</f>
        <v>13450000</v>
      </c>
      <c r="C4" s="6">
        <f>IFERROR(B4/VLOOKUP(A4,기준!$A$3:$B$5,2,FALSE),"")</f>
        <v>1.1208333333333333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704000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47</v>
      </c>
      <c r="B7" s="4">
        <f>SUM(B3:B5)</f>
        <v>34320000</v>
      </c>
      <c r="D7" s="4">
        <f>SUM(D3:D5)</f>
        <v>1630000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48</v>
      </c>
      <c r="B1" t="s">
        <v>49</v>
      </c>
    </row>
    <row r="2" spans="1:2" x14ac:dyDescent="0.3">
      <c r="A2" s="3" t="s">
        <v>50</v>
      </c>
      <c r="B2" s="4">
        <v>5170000</v>
      </c>
    </row>
    <row r="3" spans="1:2" x14ac:dyDescent="0.3">
      <c r="A3" s="3" t="s">
        <v>51</v>
      </c>
      <c r="B3" s="4">
        <v>8170000</v>
      </c>
    </row>
    <row r="4" spans="1:2" x14ac:dyDescent="0.3">
      <c r="A4" s="3" t="s">
        <v>52</v>
      </c>
      <c r="B4" s="4">
        <v>9340000</v>
      </c>
    </row>
    <row r="5" spans="1:2" x14ac:dyDescent="0.3">
      <c r="A5" s="3" t="s">
        <v>53</v>
      </c>
      <c r="B5" s="4">
        <v>6540000</v>
      </c>
    </row>
    <row r="6" spans="1:2" x14ac:dyDescent="0.3">
      <c r="A6" s="3" t="s">
        <v>54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s="3" t="s">
        <v>11</v>
      </c>
      <c r="B2" s="3" t="s">
        <v>9</v>
      </c>
      <c r="C2" s="2" t="s">
        <v>58</v>
      </c>
    </row>
    <row r="3" spans="1:3" x14ac:dyDescent="0.3">
      <c r="A3" s="3" t="s">
        <v>19</v>
      </c>
      <c r="B3" s="3" t="s">
        <v>18</v>
      </c>
      <c r="C3" s="2" t="s">
        <v>59</v>
      </c>
    </row>
    <row r="4" spans="1:3" x14ac:dyDescent="0.3">
      <c r="A4" s="3" t="s">
        <v>25</v>
      </c>
      <c r="B4" s="3" t="s">
        <v>24</v>
      </c>
      <c r="C4" s="2" t="s">
        <v>60</v>
      </c>
    </row>
    <row r="5" spans="1:3" x14ac:dyDescent="0.3">
      <c r="A5" s="3" t="s">
        <v>29</v>
      </c>
      <c r="B5" s="3" t="s">
        <v>9</v>
      </c>
      <c r="C5" s="2" t="s">
        <v>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62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검산</vt:lpstr>
      <vt:lpstr>정리 전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2026-09-21T14:59:55Z</dcterms:modified>
</cp:coreProperties>
</file>