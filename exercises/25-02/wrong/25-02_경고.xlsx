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activeTab="7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대조" sheetId="8" r:id="rId8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E6" i="8" l="1"/>
  <c r="E4" i="8"/>
  <c r="E2" i="8"/>
  <c r="D5" i="3"/>
  <c r="C7" i="8" s="1"/>
  <c r="F7" i="8" s="1"/>
  <c r="B5" i="3"/>
  <c r="C5" i="3" s="1"/>
  <c r="D4" i="3"/>
  <c r="C5" i="8" s="1"/>
  <c r="F5" i="8" s="1"/>
  <c r="B4" i="3"/>
  <c r="C4" i="3" s="1"/>
  <c r="D3" i="3"/>
  <c r="B3" i="3"/>
  <c r="B7" i="3" s="1"/>
  <c r="C8" i="8" s="1"/>
  <c r="F8" i="8" s="1"/>
  <c r="E8" i="8" l="1"/>
  <c r="C4" i="8"/>
  <c r="F4" i="8" s="1"/>
  <c r="D7" i="3"/>
  <c r="C9" i="8" s="1"/>
  <c r="F9" i="8" s="1"/>
  <c r="C6" i="8"/>
  <c r="F6" i="8" s="1"/>
  <c r="C2" i="8"/>
  <c r="F2" i="8" s="1"/>
  <c r="C3" i="8"/>
  <c r="F3" i="8" s="1"/>
  <c r="C3" i="3"/>
</calcChain>
</file>

<file path=xl/sharedStrings.xml><?xml version="1.0" encoding="utf-8"?>
<sst xmlns="http://schemas.openxmlformats.org/spreadsheetml/2006/main" count="190" uniqueCount="92">
  <si>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</si>
  <si>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</si>
  <si>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</si>
  <si>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</si>
  <si>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</si>
  <si>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</si>
  <si>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</si>
  <si>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</si>
  <si>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</si>
  <si>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</si>
  <si>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</si>
  <si>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</si>
  <si>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</si>
  <si>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</si>
  <si>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</si>
  <si>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</si>
  <si>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</si>
  <si>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</si>
  <si>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</si>
  <si>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</si>
  <si>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</si>
  <si>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</si>
  <si>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</si>
  <si>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</si>
  <si>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</si>
  <si>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</si>
  <si>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</si>
  <si>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</si>
  <si>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</si>
  <si>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</si>
  <si>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</si>
  <si>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</si>
  <si>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</si>
  <si>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</si>
  <si>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</si>
  <si>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</si>
  <si>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</si>
  <si>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</si>
  <si>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</si>
  <si>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</si>
  <si>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</si>
  <si>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</si>
  <si>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</si>
  <si>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</si>
  <si>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</si>
  <si>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</si>
  <si>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</si>
  <si>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</si>
  <si>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</si>
  <si>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</si>
  <si>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</si>
  <si>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</si>
  <si>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</si>
  <si>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</si>
  <si>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</si>
  <si>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</si>
  <si>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</si>
  <si>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</si>
  <si>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</si>
  <si>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</si>
  <si>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</si>
  <si>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</si>
  <si>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</si>
  <si>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</si>
  <si>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</si>
  <si>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</si>
  <si>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</si>
  <si>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</si>
  <si>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항목</t>
  </si>
  <si>
    <t>엑셀</t>
  </si>
  <si>
    <t>화면</t>
  </si>
  <si>
    <t>손으로</t>
  </si>
  <si>
    <t>같은가</t>
  </si>
  <si>
    <t>세지 못한 행 건수</t>
  </si>
  <si>
    <t>세지 못한 행 금액</t>
  </si>
  <si>
    <t>넘긴다 / 엑셀에 남긴다</t>
  </si>
  <si>
    <t>규칙</t>
  </si>
  <si>
    <t>빈도</t>
  </si>
  <si>
    <t>보는 사람</t>
  </si>
  <si>
    <t>어디로</t>
  </si>
  <si>
    <t>정산표</t>
  </si>
  <si>
    <t>숫자로 적힌다</t>
  </si>
  <si>
    <t>매달 같은 모양</t>
  </si>
  <si>
    <t>읽기만 한다</t>
  </si>
  <si>
    <t>넘긴다(화면)</t>
  </si>
  <si>
    <t>부서 표기가 오기인지 실제 변경인지 가르는 일</t>
  </si>
  <si>
    <t>그때그때 판단이 든다</t>
  </si>
  <si>
    <t>어쩌다 한 번</t>
  </si>
  <si>
    <t>고치면서 본다</t>
  </si>
  <si>
    <t>엑셀에 남긴다(사람)</t>
  </si>
  <si>
    <t>분기에 한 번 만드는 특판 정산</t>
  </si>
  <si>
    <t>엑셀에 남긴다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</si>
</sst>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3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3354624"/>
        <c:axId val="2113355168"/>
      </c:barChart>
      <c:catAx>
        <c:axId val="2113354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13355168"/>
        <c:crosses val="autoZero"/>
        <c:auto val="1"/>
        <c:lblAlgn val="ctr"/>
        <c:lblOffset val="100"/>
        <c:noMultiLvlLbl val="0"/>
      </c:catAx>
      <c:valAx>
        <c:axId val="21133551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133546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8" t="s">
        <v>0</v>
      </c>
      <c r="B1" s="8"/>
      <c r="C1" s="8"/>
      <c r="D1" s="8"/>
      <c r="E1" s="8"/>
      <c r="F1" s="8"/>
    </row>
    <row r="2" spans="1:6" x14ac:dyDescent="0.3">
      <c r="A2" s="8" t="s">
        <v>1</v>
      </c>
      <c r="B2" s="8"/>
      <c r="C2" s="8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/>
  </sheetViews>
  <sheetFormatPr defaultRowHeight="16.5" x14ac:dyDescent="0.3"/>
  <cols>
    <col min="1" max="1" width="44.25" bestFit="1" customWidth="1"/>
    <col min="2" max="2" width="20.625" bestFit="1" customWidth="1"/>
    <col min="3" max="3" width="14.375" bestFit="1" customWidth="1"/>
    <col min="4" max="4" width="13.75" bestFit="1" customWidth="1"/>
    <col min="5" max="5" width="19.25" bestFit="1" customWidth="1"/>
    <col min="6" max="6" width="7.125" bestFit="1" customWidth="1"/>
  </cols>
  <sheetData>
    <row r="1" spans="1:6" x14ac:dyDescent="0.3">
      <c r="A1" t="s">
        <v>3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 x14ac:dyDescent="0.3">
      <c r="A2" t="s">
        <v>9</v>
      </c>
      <c r="B2" t="s">
        <v>45</v>
      </c>
      <c r="C2" s="7">
        <f>정산!B3</f>
        <v>5270000</v>
      </c>
      <c r="D2" s="7">
        <v>5270000</v>
      </c>
      <c r="E2" s="7">
        <f>SUMIF(대장!$B$4:$B$19,A2,대장!$D$4:$D$19)</f>
        <v>5270000</v>
      </c>
      <c r="F2" t="str">
        <f t="shared" ref="F2:F9" si="0">IF(C2=D2,"같음","다름")</f>
        <v>같음</v>
      </c>
    </row>
    <row r="3" spans="1:6" x14ac:dyDescent="0.3">
      <c r="A3" t="s">
        <v>9</v>
      </c>
      <c r="B3" t="s">
        <v>47</v>
      </c>
      <c r="C3" s="7">
        <f>정산!D3</f>
        <v>79000</v>
      </c>
      <c r="D3" s="7">
        <v>79000</v>
      </c>
      <c r="E3" s="7"/>
      <c r="F3" t="str">
        <f t="shared" si="0"/>
        <v>같음</v>
      </c>
    </row>
    <row r="4" spans="1:6" x14ac:dyDescent="0.3">
      <c r="A4" t="s">
        <v>18</v>
      </c>
      <c r="B4" t="s">
        <v>45</v>
      </c>
      <c r="C4" s="7">
        <f>정산!B4</f>
        <v>11500000</v>
      </c>
      <c r="D4" s="7">
        <v>11500000</v>
      </c>
      <c r="E4" s="7">
        <f>SUMIF(대장!$B$4:$B$19,A4,대장!$D$4:$D$19)</f>
        <v>11500000</v>
      </c>
      <c r="F4" t="str">
        <f t="shared" si="0"/>
        <v>같음</v>
      </c>
    </row>
    <row r="5" spans="1:6" x14ac:dyDescent="0.3">
      <c r="A5" t="s">
        <v>18</v>
      </c>
      <c r="B5" t="s">
        <v>47</v>
      </c>
      <c r="C5" s="7">
        <f>정산!D4</f>
        <v>173000</v>
      </c>
      <c r="D5" s="7">
        <v>173000</v>
      </c>
      <c r="E5" s="7"/>
      <c r="F5" t="str">
        <f t="shared" si="0"/>
        <v>같음</v>
      </c>
    </row>
    <row r="6" spans="1:6" x14ac:dyDescent="0.3">
      <c r="A6" t="s">
        <v>24</v>
      </c>
      <c r="B6" t="s">
        <v>45</v>
      </c>
      <c r="C6" s="7">
        <f>정산!B5</f>
        <v>12960000</v>
      </c>
      <c r="D6" s="7">
        <v>12960000</v>
      </c>
      <c r="E6" s="7">
        <f>SUMIF(대장!$B$4:$B$19,A6,대장!$D$4:$D$19)</f>
        <v>12960000</v>
      </c>
      <c r="F6" t="str">
        <f t="shared" si="0"/>
        <v>같음</v>
      </c>
    </row>
    <row r="7" spans="1:6" x14ac:dyDescent="0.3">
      <c r="A7" t="s">
        <v>24</v>
      </c>
      <c r="B7" t="s">
        <v>47</v>
      </c>
      <c r="C7" s="7">
        <f>정산!D5</f>
        <v>389000</v>
      </c>
      <c r="D7" s="7">
        <v>389000</v>
      </c>
      <c r="E7" s="7"/>
      <c r="F7" t="str">
        <f t="shared" si="0"/>
        <v>같음</v>
      </c>
    </row>
    <row r="8" spans="1:6" x14ac:dyDescent="0.3">
      <c r="A8" t="s">
        <v>48</v>
      </c>
      <c r="B8" t="s">
        <v>45</v>
      </c>
      <c r="C8" s="7">
        <f>정산!B7</f>
        <v>29730000</v>
      </c>
      <c r="D8" s="7">
        <v>29730000</v>
      </c>
      <c r="E8" s="7">
        <f>E2+E4+E6</f>
        <v>29730000</v>
      </c>
      <c r="F8" t="str">
        <f t="shared" si="0"/>
        <v>같음</v>
      </c>
    </row>
    <row r="9" spans="1:6" x14ac:dyDescent="0.3">
      <c r="A9" t="s">
        <v>48</v>
      </c>
      <c r="B9" t="s">
        <v>47</v>
      </c>
      <c r="C9" s="7">
        <f>정산!D7</f>
        <v>641000</v>
      </c>
      <c r="D9" s="7">
        <v>641000</v>
      </c>
      <c r="E9" s="7"/>
      <c r="F9" t="str">
        <f t="shared" si="0"/>
        <v>같음</v>
      </c>
    </row>
    <row r="11" spans="1:6" x14ac:dyDescent="0.3">
      <c r="A11" t="s">
        <v>73</v>
      </c>
      <c r="B11" s="7">
        <v>3</v>
      </c>
    </row>
    <row r="12" spans="1:6" x14ac:dyDescent="0.3">
      <c r="A12" t="s">
        <v>74</v>
      </c>
      <c r="B12" s="7">
        <v>4590000</v>
      </c>
    </row>
    <row r="14" spans="1:6" x14ac:dyDescent="0.3">
      <c r="A14" t="s">
        <v>75</v>
      </c>
      <c r="B14" t="s">
        <v>76</v>
      </c>
      <c r="C14" t="s">
        <v>77</v>
      </c>
      <c r="D14" t="s">
        <v>78</v>
      </c>
      <c r="E14" t="s">
        <v>79</v>
      </c>
    </row>
    <row r="15" spans="1: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</row>
    <row r="16" spans="1:6" x14ac:dyDescent="0.3">
      <c r="A16" t="s">
        <v>85</v>
      </c>
      <c r="B16" t="s">
        <v>86</v>
      </c>
      <c r="C16" t="s">
        <v>87</v>
      </c>
      <c r="D16" t="s">
        <v>88</v>
      </c>
      <c r="E16" t="s">
        <v>89</v>
      </c>
    </row>
    <row r="17" spans="1:5" x14ac:dyDescent="0.3">
      <c r="A17" t="s">
        <v>90</v>
      </c>
      <c r="B17" t="s">
        <v>86</v>
      </c>
      <c r="C17" t="s">
        <v>87</v>
      </c>
      <c r="D17" t="s">
        <v>88</v>
      </c>
      <c r="E17" t="s">
        <v>91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3</vt:i4>
      </vt:variant>
    </vt:vector>
  </HeadingPairs>
  <TitlesOfParts>
    <vt:vector size="11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대조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2026-09-21T15:03:07Z</dcterms:modified>
</cp:coreProperties>
</file>