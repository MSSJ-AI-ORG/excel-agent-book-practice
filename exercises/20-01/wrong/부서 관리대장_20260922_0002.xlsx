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대장" sheetId="1" r:id="rId1"/>
    <sheet name="기준" sheetId="2" r:id="rId2"/>
    <sheet name="정산" sheetId="3" r:id="rId3"/>
    <sheet name="월별" sheetId="4" r:id="rId4"/>
    <sheet name="담당자" sheetId="5" r:id="rId5"/>
    <sheet name="백업_0402" sheetId="6" r:id="rId6"/>
    <sheet name="읽어주세요" sheetId="7" r:id="rId7"/>
  </sheets>
  <definedNames>
    <definedName name="기준요율">기준!$B$8</definedName>
    <definedName name="대장범위">대장!$A$3:$F$19</definedName>
    <definedName name="성과가산">300000</definedName>
    <definedName name="정산대상">정산!$A$3:$A$5</definedName>
  </definedNames>
  <calcPr calcId="152511"/>
</workbook>
</file>

<file path=xl/calcChain.xml><?xml version="1.0" encoding="utf-8"?>
<calcChain xmlns="http://schemas.openxmlformats.org/spreadsheetml/2006/main">
  <c r="D5" i="3" l="1"/>
  <c r="B5" i="3"/>
  <c r="C5" i="3" s="1"/>
  <c r="D4" i="3"/>
  <c r="B4" i="3"/>
  <c r="C4" i="3" s="1"/>
  <c r="D3" i="3"/>
  <c r="B3" i="3"/>
  <c r="B7" i="3" s="1"/>
  <c r="D7" i="3" l="1"/>
  <c r="C3" i="3"/>
</calcChain>
</file>

<file path=xl/sharedStrings.xml><?xml version="1.0" encoding="utf-8"?>
<sst xmlns="http://schemas.openxmlformats.org/spreadsheetml/2006/main" count="146" uniqueCount="68">
  <si>
    <t>부서 매출 관리대장 (2026년 상반기)</t>
  </si>
  <si>
    <t>작성: 전임자</t>
  </si>
  <si>
    <t>일자</t>
  </si>
  <si>
    <t>부서</t>
  </si>
  <si>
    <t>구분</t>
  </si>
  <si>
    <t>금액</t>
  </si>
  <si>
    <t>담당</t>
  </si>
  <si>
    <t>비고</t>
  </si>
  <si>
    <t>2026-01-08</t>
  </si>
  <si>
    <t>영업1팀</t>
  </si>
  <si>
    <t>정기</t>
  </si>
  <si>
    <t>김선우</t>
  </si>
  <si>
    <t/>
  </si>
  <si>
    <t>2026-01-15</t>
  </si>
  <si>
    <t>영업 1팀</t>
  </si>
  <si>
    <t>신규</t>
  </si>
  <si>
    <t>분기 이월</t>
  </si>
  <si>
    <t>2026.01.22</t>
  </si>
  <si>
    <t>영업2팀</t>
  </si>
  <si>
    <t>박도현</t>
  </si>
  <si>
    <t>2026-02-03</t>
  </si>
  <si>
    <t>2026년 2월 14일</t>
  </si>
  <si>
    <t>영업1 팀</t>
  </si>
  <si>
    <t>2026-02-27</t>
  </si>
  <si>
    <t>영업3팀</t>
  </si>
  <si>
    <t>이하람</t>
  </si>
  <si>
    <t>특판</t>
  </si>
  <si>
    <t>2026-03-05</t>
  </si>
  <si>
    <t>2026-03-11</t>
  </si>
  <si>
    <t>정유진</t>
  </si>
  <si>
    <t>2026-03-19</t>
  </si>
  <si>
    <t>2026-03-26</t>
  </si>
  <si>
    <t>영업 2팀</t>
  </si>
  <si>
    <t>재계약</t>
  </si>
  <si>
    <t>2026-04-02</t>
  </si>
  <si>
    <t>2026-04-16</t>
  </si>
  <si>
    <t>2026.04.23</t>
  </si>
  <si>
    <t>2026-05-07</t>
  </si>
  <si>
    <t>2026-05-21</t>
  </si>
  <si>
    <t>단가 조정</t>
  </si>
  <si>
    <t>부서별 목표와 요율</t>
  </si>
  <si>
    <t>목표금액</t>
  </si>
  <si>
    <t>적용요율</t>
  </si>
  <si>
    <t>요율</t>
  </si>
  <si>
    <t>부서별 정산</t>
  </si>
  <si>
    <t>매출합계</t>
  </si>
  <si>
    <t>달성률</t>
  </si>
  <si>
    <t>정산액</t>
  </si>
  <si>
    <t>합계</t>
  </si>
  <si>
    <t>월</t>
  </si>
  <si>
    <t>매출</t>
  </si>
  <si>
    <t>1월</t>
  </si>
  <si>
    <t>2월</t>
  </si>
  <si>
    <t>3월</t>
  </si>
  <si>
    <t>4월</t>
  </si>
  <si>
    <t>5월</t>
  </si>
  <si>
    <t>이름</t>
  </si>
  <si>
    <t>소속</t>
  </si>
  <si>
    <t>입사일</t>
  </si>
  <si>
    <t>2024-03-01</t>
  </si>
  <si>
    <t>2023-11-15</t>
  </si>
  <si>
    <t>2025-01-06</t>
  </si>
  <si>
    <t>2025-09-01</t>
  </si>
  <si>
    <t>2026-04-02 백업본</t>
  </si>
  <si>
    <t>이 파일은 2024년부터 쓰던 양식입니다.</t>
  </si>
  <si>
    <t>정산 시트 D열 수식은 전임자가 만든 것으로, 손대기 전에 반드시 사본을 두세요.</t>
  </si>
  <si>
    <t>부서 이름 표기가 일부 다릅니다. 고치다가 합계가 틀어진 적이 있습니다.</t>
  </si>
  <si>
    <t>백업_0402 시트는 지워도 되는지 아무도 모릅니다.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</si>
</sst>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3" fontId="0" fillId="0" borderId="1" xfId="0" applyNumberFormat="1" applyBorder="1"/>
    <xf numFmtId="0" fontId="3" fillId="0" borderId="0" xfId="0" applyFont="1"/>
    <xf numFmtId="176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월별 매출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월별!$A$2:$A$6</c:f>
              <c:strCache>
                <c:ptCount val="5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</c:strCache>
            </c:strRef>
          </c:cat>
          <c:val>
            <c:numRef>
              <c:f>월별!$B$2:$B$6</c:f>
              <c:numCache>
                <c:formatCode>#,##0</c:formatCode>
                <c:ptCount val="5"/>
                <c:pt idx="0">
                  <c:v>5170000</c:v>
                </c:pt>
                <c:pt idx="1">
                  <c:v>8170000</c:v>
                </c:pt>
                <c:pt idx="2">
                  <c:v>9340000</c:v>
                </c:pt>
                <c:pt idx="3">
                  <c:v>6540000</c:v>
                </c:pt>
                <c:pt idx="4">
                  <c:v>5340000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1618640"/>
        <c:axId val="2111619184"/>
      </c:barChart>
      <c:catAx>
        <c:axId val="21116186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111619184"/>
        <c:crosses val="autoZero"/>
        <c:auto val="1"/>
        <c:lblAlgn val="ctr"/>
        <c:lblOffset val="100"/>
        <c:noMultiLvlLbl val="0"/>
      </c:catAx>
      <c:valAx>
        <c:axId val="211161918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21116186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542925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월별매출" displayName="월별매출" ref="A1:B6" totalsRowShown="0">
  <tableColumns count="2">
    <tableColumn id="1" name="월"/>
    <tableColumn id="2" name="매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담당자표" displayName="담당자표" ref="A1:C5" totalsRowShown="0">
  <tableColumns count="3">
    <tableColumn id="1" name="이름"/>
    <tableColumn id="2" name="소속"/>
    <tableColumn id="3" name="입사일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pane ySplit="3" topLeftCell="A4" activePane="bottomLeft" state="frozen"/>
      <selection pane="bottomLeft" sqref="A1:F1"/>
    </sheetView>
  </sheetViews>
  <sheetFormatPr defaultRowHeight="16.5" x14ac:dyDescent="0.3"/>
  <cols>
    <col min="1" max="1" width="16.75" customWidth="1"/>
    <col min="2" max="2" width="12.75" customWidth="1"/>
    <col min="3" max="3" width="8.75" customWidth="1"/>
    <col min="4" max="4" width="14.75" customWidth="1"/>
    <col min="5" max="5" width="10.75" customWidth="1"/>
    <col min="6" max="6" width="18.75" customWidth="1"/>
  </cols>
  <sheetData>
    <row r="1" spans="1:6" x14ac:dyDescent="0.3">
      <c r="A1" s="7" t="s">
        <v>0</v>
      </c>
      <c r="B1" s="7"/>
      <c r="C1" s="7"/>
      <c r="D1" s="7"/>
      <c r="E1" s="7"/>
      <c r="F1" s="7"/>
    </row>
    <row r="2" spans="1:6" x14ac:dyDescent="0.3">
      <c r="A2" s="7" t="s">
        <v>1</v>
      </c>
      <c r="B2" s="7"/>
      <c r="C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2" t="s">
        <v>8</v>
      </c>
      <c r="B4" s="3" t="s">
        <v>9</v>
      </c>
      <c r="C4" s="3" t="s">
        <v>10</v>
      </c>
      <c r="D4" s="4">
        <v>1240000</v>
      </c>
      <c r="E4" s="3" t="s">
        <v>11</v>
      </c>
      <c r="F4" s="3" t="s">
        <v>12</v>
      </c>
    </row>
    <row r="5" spans="1:6" x14ac:dyDescent="0.3">
      <c r="A5" s="2" t="s">
        <v>13</v>
      </c>
      <c r="B5" s="3" t="s">
        <v>14</v>
      </c>
      <c r="C5" s="3" t="s">
        <v>15</v>
      </c>
      <c r="D5" s="4">
        <v>880000</v>
      </c>
      <c r="E5" s="3" t="s">
        <v>11</v>
      </c>
      <c r="F5" s="3" t="s">
        <v>16</v>
      </c>
    </row>
    <row r="6" spans="1:6" x14ac:dyDescent="0.3">
      <c r="A6" s="2" t="s">
        <v>17</v>
      </c>
      <c r="B6" s="3" t="s">
        <v>18</v>
      </c>
      <c r="C6" s="3" t="s">
        <v>10</v>
      </c>
      <c r="D6" s="4">
        <v>3050000</v>
      </c>
      <c r="E6" s="3" t="s">
        <v>19</v>
      </c>
      <c r="F6" s="3" t="s">
        <v>12</v>
      </c>
    </row>
    <row r="7" spans="1:6" x14ac:dyDescent="0.3">
      <c r="A7" s="2" t="s">
        <v>20</v>
      </c>
      <c r="B7" s="3" t="s">
        <v>18</v>
      </c>
      <c r="C7" s="3" t="s">
        <v>15</v>
      </c>
      <c r="D7" s="4">
        <v>2100000</v>
      </c>
      <c r="E7" s="3" t="s">
        <v>19</v>
      </c>
      <c r="F7" s="3" t="s">
        <v>12</v>
      </c>
    </row>
    <row r="8" spans="1:6" x14ac:dyDescent="0.3">
      <c r="A8" s="2" t="s">
        <v>21</v>
      </c>
      <c r="B8" s="3" t="s">
        <v>22</v>
      </c>
      <c r="C8" s="3" t="s">
        <v>10</v>
      </c>
      <c r="D8" s="4">
        <v>1760000</v>
      </c>
      <c r="E8" s="3" t="s">
        <v>11</v>
      </c>
      <c r="F8" s="3" t="s">
        <v>12</v>
      </c>
    </row>
    <row r="9" spans="1:6" x14ac:dyDescent="0.3">
      <c r="A9" s="2" t="s">
        <v>23</v>
      </c>
      <c r="B9" s="3" t="s">
        <v>24</v>
      </c>
      <c r="C9" s="3" t="s">
        <v>15</v>
      </c>
      <c r="D9" s="4">
        <v>4310000</v>
      </c>
      <c r="E9" s="3" t="s">
        <v>25</v>
      </c>
      <c r="F9" s="3" t="s">
        <v>26</v>
      </c>
    </row>
    <row r="10" spans="1:6" x14ac:dyDescent="0.3">
      <c r="A10" s="2" t="s">
        <v>27</v>
      </c>
      <c r="B10" s="3" t="s">
        <v>24</v>
      </c>
      <c r="C10" s="3" t="s">
        <v>10</v>
      </c>
      <c r="D10" s="4">
        <v>2650000</v>
      </c>
      <c r="E10" s="3" t="s">
        <v>25</v>
      </c>
      <c r="F10" s="3" t="s">
        <v>12</v>
      </c>
    </row>
    <row r="11" spans="1:6" x14ac:dyDescent="0.3">
      <c r="A11" s="2" t="s">
        <v>28</v>
      </c>
      <c r="B11" s="3" t="s">
        <v>9</v>
      </c>
      <c r="C11" s="3" t="s">
        <v>15</v>
      </c>
      <c r="D11" s="4">
        <v>1020000</v>
      </c>
      <c r="E11" s="3" t="s">
        <v>29</v>
      </c>
      <c r="F11" s="3" t="s">
        <v>12</v>
      </c>
    </row>
    <row r="13" spans="1:6" x14ac:dyDescent="0.3">
      <c r="A13" s="2" t="s">
        <v>30</v>
      </c>
      <c r="B13" s="3" t="s">
        <v>18</v>
      </c>
      <c r="C13" s="3" t="s">
        <v>10</v>
      </c>
      <c r="D13" s="4">
        <v>3480000</v>
      </c>
      <c r="E13" s="3" t="s">
        <v>19</v>
      </c>
      <c r="F13" s="3" t="s">
        <v>12</v>
      </c>
    </row>
    <row r="14" spans="1:6" x14ac:dyDescent="0.3">
      <c r="A14" s="2" t="s">
        <v>31</v>
      </c>
      <c r="B14" s="3" t="s">
        <v>32</v>
      </c>
      <c r="C14" s="3" t="s">
        <v>15</v>
      </c>
      <c r="D14" s="4">
        <v>1950000</v>
      </c>
      <c r="E14" s="3" t="s">
        <v>29</v>
      </c>
      <c r="F14" s="3" t="s">
        <v>33</v>
      </c>
    </row>
    <row r="15" spans="1:6" x14ac:dyDescent="0.3">
      <c r="A15" s="2" t="s">
        <v>34</v>
      </c>
      <c r="B15" s="3" t="s">
        <v>24</v>
      </c>
      <c r="C15" s="3" t="s">
        <v>10</v>
      </c>
      <c r="D15" s="4">
        <v>2240000</v>
      </c>
      <c r="E15" s="3" t="s">
        <v>25</v>
      </c>
      <c r="F15" s="3" t="s">
        <v>12</v>
      </c>
    </row>
    <row r="16" spans="1:6" x14ac:dyDescent="0.3">
      <c r="A16" s="2" t="s">
        <v>35</v>
      </c>
      <c r="B16" s="3" t="s">
        <v>9</v>
      </c>
      <c r="C16" s="3" t="s">
        <v>10</v>
      </c>
      <c r="D16" s="4">
        <v>1430000</v>
      </c>
      <c r="E16" s="3" t="s">
        <v>11</v>
      </c>
      <c r="F16" s="3" t="s">
        <v>12</v>
      </c>
    </row>
    <row r="17" spans="1:6" x14ac:dyDescent="0.3">
      <c r="A17" s="2" t="s">
        <v>36</v>
      </c>
      <c r="B17" s="3" t="s">
        <v>18</v>
      </c>
      <c r="C17" s="3" t="s">
        <v>15</v>
      </c>
      <c r="D17" s="4">
        <v>2870000</v>
      </c>
      <c r="E17" s="3" t="s">
        <v>19</v>
      </c>
      <c r="F17" s="3" t="s">
        <v>12</v>
      </c>
    </row>
    <row r="18" spans="1:6" x14ac:dyDescent="0.3">
      <c r="A18" s="2" t="s">
        <v>37</v>
      </c>
      <c r="B18" s="3" t="s">
        <v>24</v>
      </c>
      <c r="C18" s="3" t="s">
        <v>15</v>
      </c>
      <c r="D18" s="4">
        <v>3760000</v>
      </c>
      <c r="E18" s="3" t="s">
        <v>29</v>
      </c>
      <c r="F18" s="3" t="s">
        <v>12</v>
      </c>
    </row>
    <row r="19" spans="1:6" x14ac:dyDescent="0.3">
      <c r="A19" s="2" t="s">
        <v>38</v>
      </c>
      <c r="B19" s="3" t="s">
        <v>9</v>
      </c>
      <c r="C19" s="3" t="s">
        <v>10</v>
      </c>
      <c r="D19" s="4">
        <v>1580000</v>
      </c>
      <c r="E19" s="3" t="s">
        <v>11</v>
      </c>
      <c r="F19" s="3" t="s">
        <v>39</v>
      </c>
    </row>
  </sheetData>
  <mergeCells count="2">
    <mergeCell ref="A1:F1"/>
    <mergeCell ref="A2:C2"/>
  </mergeCells>
  <phoneticPr fontId="4" type="noConversion"/>
  <conditionalFormatting sqref="D4:D19">
    <cfRule type="cellIs" dxfId="0" priority="1" operator="greaterThanOrEqual">
      <formula>3000000</formula>
    </cfRule>
  </conditionalFormatting>
  <dataValidations count="1">
    <dataValidation type="list" allowBlank="1" showInputMessage="1" showErrorMessage="1" sqref="C4:C19">
      <formula1>"정기,신규"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6.5" x14ac:dyDescent="0.3"/>
  <cols>
    <col min="1" max="1" width="12.75" customWidth="1"/>
    <col min="2" max="3" width="14.75" customWidth="1"/>
  </cols>
  <sheetData>
    <row r="1" spans="1:3" ht="20.25" x14ac:dyDescent="0.35">
      <c r="A1" s="5" t="s">
        <v>40</v>
      </c>
    </row>
    <row r="2" spans="1:3" x14ac:dyDescent="0.3">
      <c r="A2" s="1" t="s">
        <v>3</v>
      </c>
      <c r="B2" s="1" t="s">
        <v>41</v>
      </c>
      <c r="C2" s="1" t="s">
        <v>42</v>
      </c>
    </row>
    <row r="3" spans="1:3" x14ac:dyDescent="0.3">
      <c r="A3" s="3" t="s">
        <v>9</v>
      </c>
      <c r="B3" s="4">
        <v>6000000</v>
      </c>
      <c r="C3" s="6">
        <v>0.04</v>
      </c>
    </row>
    <row r="4" spans="1:3" x14ac:dyDescent="0.3">
      <c r="A4" s="3" t="s">
        <v>18</v>
      </c>
      <c r="B4" s="4">
        <v>12000000</v>
      </c>
      <c r="C4" s="6">
        <v>4.4999999999999998E-2</v>
      </c>
    </row>
    <row r="5" spans="1:3" x14ac:dyDescent="0.3">
      <c r="A5" s="3" t="s">
        <v>24</v>
      </c>
      <c r="B5" s="4">
        <v>11000000</v>
      </c>
      <c r="C5" s="6">
        <v>0.05</v>
      </c>
    </row>
    <row r="7" spans="1:3" x14ac:dyDescent="0.3">
      <c r="A7" s="1" t="s">
        <v>4</v>
      </c>
      <c r="B7" s="1" t="s">
        <v>43</v>
      </c>
    </row>
    <row r="8" spans="1:3" x14ac:dyDescent="0.3">
      <c r="A8" s="3" t="s">
        <v>10</v>
      </c>
      <c r="B8" s="6">
        <v>0.03</v>
      </c>
    </row>
    <row r="9" spans="1:3" x14ac:dyDescent="0.3">
      <c r="A9" s="3" t="s">
        <v>15</v>
      </c>
      <c r="B9" s="6">
        <v>0.05</v>
      </c>
    </row>
    <row r="10" spans="1:3" x14ac:dyDescent="0.3">
      <c r="A10" s="3" t="s">
        <v>26</v>
      </c>
      <c r="B10" s="6">
        <v>7.0000000000000007E-2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6.5" x14ac:dyDescent="0.3"/>
  <cols>
    <col min="1" max="1" width="12.75" customWidth="1"/>
    <col min="2" max="4" width="16.75" customWidth="1"/>
  </cols>
  <sheetData>
    <row r="1" spans="1:4" ht="20.25" x14ac:dyDescent="0.35">
      <c r="A1" s="5" t="s">
        <v>44</v>
      </c>
    </row>
    <row r="2" spans="1:4" x14ac:dyDescent="0.3">
      <c r="A2" s="1" t="s">
        <v>3</v>
      </c>
      <c r="B2" s="1" t="s">
        <v>45</v>
      </c>
      <c r="C2" s="1" t="s">
        <v>46</v>
      </c>
      <c r="D2" s="1" t="s">
        <v>47</v>
      </c>
    </row>
    <row r="3" spans="1:4" x14ac:dyDescent="0.3">
      <c r="A3" s="3" t="s">
        <v>9</v>
      </c>
      <c r="B3" s="4">
        <f>SUMIF(대장!$B$4:$B$19,A3,대장!$D$4:$D$19)</f>
        <v>5270000</v>
      </c>
      <c r="C3" s="6">
        <f>IFERROR(B3/VLOOKUP(A3,기준!$A$3:$B$5,2,FALSE),"")</f>
        <v>0.8783333333333333</v>
      </c>
      <c r="D3" s="4">
        <f>IFERROR(ROUND(IF(SUMIF(대장!$B$4:$B$19,A3,대장!$D$4:$D$19)&gt;=VLOOKUP(A3,기준!$A$3:$B$5,2,FALSE),SUMIF(대장!$B$4:$B$19,A3,대장!$D$4:$D$19)*기준요율+IF(COUNTIF(대장!$B$4:$B$19,A3)&gt;4,성과가산,0),SUMIF(대장!$B$4:$B$19,A3,대장!$D$4:$D$19)*기준요율*0.5),-3),0)</f>
        <v>79000</v>
      </c>
    </row>
    <row r="4" spans="1:4" x14ac:dyDescent="0.3">
      <c r="A4" s="3" t="s">
        <v>18</v>
      </c>
      <c r="B4" s="4">
        <f>SUMIF(대장!$B$4:$B$19,A4,대장!$D$4:$D$19)</f>
        <v>11500000</v>
      </c>
      <c r="C4" s="6">
        <f>IFERROR(B4/VLOOKUP(A4,기준!$A$3:$B$5,2,FALSE),"")</f>
        <v>0.95833333333333337</v>
      </c>
      <c r="D4" s="4">
        <f>IFERROR(ROUND(IF(SUMIF(대장!$B$4:$B$19,A4,대장!$D$4:$D$19)&gt;=VLOOKUP(A4,기준!$A$3:$B$5,2,FALSE),SUMIF(대장!$B$4:$B$19,A4,대장!$D$4:$D$19)*기준요율+IF(COUNTIF(대장!$B$4:$B$19,A4)&gt;4,성과가산,0),SUMIF(대장!$B$4:$B$19,A4,대장!$D$4:$D$19)*기준요율*0.5),-3),0)</f>
        <v>173000</v>
      </c>
    </row>
    <row r="5" spans="1:4" x14ac:dyDescent="0.3">
      <c r="A5" s="3" t="s">
        <v>24</v>
      </c>
      <c r="B5" s="4">
        <f>SUMIF(대장!$B$4:$B$19,A5,대장!$D$4:$D$19)</f>
        <v>12960000</v>
      </c>
      <c r="C5" s="6">
        <f>IFERROR(B5/VLOOKUP(A5,기준!$A$3:$B$5,2,FALSE),"")</f>
        <v>1.1781818181818182</v>
      </c>
      <c r="D5" s="4">
        <f>IFERROR(ROUND(IF(SUMIF(대장!$B$4:$B$19,A5,대장!$D$4:$D$19)&gt;=VLOOKUP(A5,기준!$A$3:$B$5,2,FALSE),SUMIF(대장!$B$4:$B$19,A5,대장!$D$4:$D$19)*기준요율+IF(COUNTIF(대장!$B$4:$B$19,A5)&gt;4,성과가산,0),SUMIF(대장!$B$4:$B$19,A5,대장!$D$4:$D$19)*기준요율*0.5),-3),0)</f>
        <v>389000</v>
      </c>
    </row>
    <row r="7" spans="1:4" x14ac:dyDescent="0.3">
      <c r="A7" s="1" t="s">
        <v>48</v>
      </c>
      <c r="B7" s="4">
        <f>SUM(B3:B5)</f>
        <v>29730000</v>
      </c>
      <c r="D7" s="4">
        <f>SUM(D3:D5)</f>
        <v>641000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6.5" x14ac:dyDescent="0.3"/>
  <cols>
    <col min="1" max="4" width="14.75" customWidth="1"/>
  </cols>
  <sheetData>
    <row r="1" spans="1:2" x14ac:dyDescent="0.3">
      <c r="A1" t="s">
        <v>49</v>
      </c>
      <c r="B1" t="s">
        <v>50</v>
      </c>
    </row>
    <row r="2" spans="1:2" x14ac:dyDescent="0.3">
      <c r="A2" s="3" t="s">
        <v>51</v>
      </c>
      <c r="B2" s="4">
        <v>5170000</v>
      </c>
    </row>
    <row r="3" spans="1:2" x14ac:dyDescent="0.3">
      <c r="A3" s="3" t="s">
        <v>52</v>
      </c>
      <c r="B3" s="4">
        <v>8170000</v>
      </c>
    </row>
    <row r="4" spans="1:2" x14ac:dyDescent="0.3">
      <c r="A4" s="3" t="s">
        <v>53</v>
      </c>
      <c r="B4" s="4">
        <v>9340000</v>
      </c>
    </row>
    <row r="5" spans="1:2" x14ac:dyDescent="0.3">
      <c r="A5" s="3" t="s">
        <v>54</v>
      </c>
      <c r="B5" s="4">
        <v>6540000</v>
      </c>
    </row>
    <row r="6" spans="1:2" x14ac:dyDescent="0.3">
      <c r="A6" s="3" t="s">
        <v>55</v>
      </c>
      <c r="B6" s="4">
        <v>5340000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6.5" x14ac:dyDescent="0.3"/>
  <cols>
    <col min="1" max="3" width="14.75" customWidth="1"/>
  </cols>
  <sheetData>
    <row r="1" spans="1:3" x14ac:dyDescent="0.3">
      <c r="A1" t="s">
        <v>56</v>
      </c>
      <c r="B1" t="s">
        <v>57</v>
      </c>
      <c r="C1" t="s">
        <v>58</v>
      </c>
    </row>
    <row r="2" spans="1:3" x14ac:dyDescent="0.3">
      <c r="A2" s="3" t="s">
        <v>11</v>
      </c>
      <c r="B2" s="3" t="s">
        <v>9</v>
      </c>
      <c r="C2" s="2" t="s">
        <v>59</v>
      </c>
    </row>
    <row r="3" spans="1:3" x14ac:dyDescent="0.3">
      <c r="A3" s="3" t="s">
        <v>19</v>
      </c>
      <c r="B3" s="3" t="s">
        <v>18</v>
      </c>
      <c r="C3" s="2" t="s">
        <v>60</v>
      </c>
    </row>
    <row r="4" spans="1:3" x14ac:dyDescent="0.3">
      <c r="A4" s="3" t="s">
        <v>25</v>
      </c>
      <c r="B4" s="3" t="s">
        <v>24</v>
      </c>
      <c r="C4" s="2" t="s">
        <v>61</v>
      </c>
    </row>
    <row r="5" spans="1:3" x14ac:dyDescent="0.3">
      <c r="A5" s="3" t="s">
        <v>29</v>
      </c>
      <c r="B5" s="3" t="s">
        <v>9</v>
      </c>
      <c r="C5" s="2" t="s">
        <v>62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6.5" x14ac:dyDescent="0.3"/>
  <sheetData>
    <row r="1" spans="1:3" ht="20.25" x14ac:dyDescent="0.35">
      <c r="A1" s="5" t="s">
        <v>63</v>
      </c>
    </row>
    <row r="2" spans="1:3" x14ac:dyDescent="0.3">
      <c r="A2" s="1" t="s">
        <v>2</v>
      </c>
      <c r="B2" s="1" t="s">
        <v>3</v>
      </c>
      <c r="C2" s="1" t="s">
        <v>5</v>
      </c>
    </row>
    <row r="3" spans="1:3" x14ac:dyDescent="0.3">
      <c r="A3" s="2" t="s">
        <v>8</v>
      </c>
      <c r="B3" s="3" t="s">
        <v>9</v>
      </c>
      <c r="C3" s="4">
        <v>1240000</v>
      </c>
    </row>
    <row r="4" spans="1:3" x14ac:dyDescent="0.3">
      <c r="A4" s="2" t="s">
        <v>13</v>
      </c>
      <c r="B4" s="3" t="s">
        <v>14</v>
      </c>
      <c r="C4" s="4">
        <v>880000</v>
      </c>
    </row>
    <row r="5" spans="1:3" x14ac:dyDescent="0.3">
      <c r="A5" s="2" t="s">
        <v>17</v>
      </c>
      <c r="B5" s="3" t="s">
        <v>18</v>
      </c>
      <c r="C5" s="4">
        <v>3050000</v>
      </c>
    </row>
    <row r="6" spans="1:3" x14ac:dyDescent="0.3">
      <c r="A6" s="2" t="s">
        <v>20</v>
      </c>
      <c r="B6" s="3" t="s">
        <v>18</v>
      </c>
      <c r="C6" s="4">
        <v>2100000</v>
      </c>
    </row>
    <row r="7" spans="1:3" x14ac:dyDescent="0.3">
      <c r="A7" s="2" t="s">
        <v>21</v>
      </c>
      <c r="B7" s="3" t="s">
        <v>22</v>
      </c>
      <c r="C7" s="4">
        <v>1760000</v>
      </c>
    </row>
    <row r="8" spans="1:3" x14ac:dyDescent="0.3">
      <c r="A8" s="2" t="s">
        <v>23</v>
      </c>
      <c r="B8" s="3" t="s">
        <v>24</v>
      </c>
      <c r="C8" s="4">
        <v>4310000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6.5" x14ac:dyDescent="0.3"/>
  <cols>
    <col min="1" max="1" width="90.75" customWidth="1"/>
  </cols>
  <sheetData>
    <row r="1" spans="1:1" x14ac:dyDescent="0.3">
      <c r="A1" t="s">
        <v>64</v>
      </c>
    </row>
    <row r="2" spans="1:1" x14ac:dyDescent="0.3">
      <c r="A2" t="s">
        <v>65</v>
      </c>
    </row>
    <row r="3" spans="1:1" x14ac:dyDescent="0.3">
      <c r="A3" t="s">
        <v>66</v>
      </c>
    </row>
    <row r="4" spans="1:1" x14ac:dyDescent="0.3">
      <c r="A4" t="s">
        <v>67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이름이 지정된 범위</vt:lpstr>
      </vt:variant>
      <vt:variant>
        <vt:i4>3</vt:i4>
      </vt:variant>
    </vt:vector>
  </HeadingPairs>
  <TitlesOfParts>
    <vt:vector size="10" baseType="lpstr">
      <vt:lpstr>대장</vt:lpstr>
      <vt:lpstr>기준</vt:lpstr>
      <vt:lpstr>정산</vt:lpstr>
      <vt:lpstr>월별</vt:lpstr>
      <vt:lpstr>담당자</vt:lpstr>
      <vt:lpstr>백업_0402</vt:lpstr>
      <vt:lpstr>읽어주세요</vt:lpstr>
      <vt:lpstr>기준요율</vt:lpstr>
      <vt:lpstr>대장범위</vt:lpstr>
      <vt:lpstr>정산대상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부서 관리대장</dc:title>
  <dc:creator/>
  <dc:description>2024년부터 쓰던 양식. 수정 전 반드시 사본.</dc:description>
  <cp:lastModifiedBy/>
  <dcterms:created xsi:type="dcterms:W3CDTF">2026-09-19T09:05:24Z</dcterms:created>
  <dcterms:modified xsi:type="dcterms:W3CDTF">2026-09-21T15:03:00Z</dcterms:modified>
</cp:coreProperties>
</file>