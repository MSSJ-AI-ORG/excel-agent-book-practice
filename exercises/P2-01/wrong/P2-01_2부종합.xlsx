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11" r:id="rId1"/>
    <sheet name="날짜검산" sheetId="10" r:id="rId2"/>
    <sheet name="정리 전" sheetId="9" r:id="rId3"/>
    <sheet name="정리후보" sheetId="8" r:id="rId4"/>
    <sheet name="대장" sheetId="1" r:id="rId5"/>
    <sheet name="기준" sheetId="2" r:id="rId6"/>
    <sheet name="정산" sheetId="3" r:id="rId7"/>
    <sheet name="월별" sheetId="4" r:id="rId8"/>
    <sheet name="담당자" sheetId="5" r:id="rId9"/>
    <sheet name="읽어주세요" sheetId="7" r:id="rId10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C9" i="11" l="1"/>
  <c r="C8" i="11"/>
  <c r="C7" i="11"/>
  <c r="B2" i="10"/>
  <c r="B1" i="10"/>
  <c r="D5" i="3"/>
  <c r="B5" i="3"/>
  <c r="C5" i="3" s="1"/>
  <c r="D4" i="3"/>
  <c r="B4" i="3"/>
  <c r="C4" i="3" s="1"/>
  <c r="D3" i="3"/>
  <c r="B3" i="3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B9" i="11"/>
  <c r="B8" i="11"/>
  <c r="D8" i="11" s="1"/>
  <c r="B7" i="11"/>
  <c r="D7" i="11" s="1"/>
  <c r="D7" i="3" l="1"/>
  <c r="B7" i="3"/>
  <c r="C3" i="3"/>
</calcChain>
</file>

<file path=xl/sharedStrings.xml><?xml version="1.0" encoding="utf-8"?>
<sst xmlns="http://schemas.openxmlformats.org/spreadsheetml/2006/main" count="168" uniqueCount="89">
  <si>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</si>
  <si>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</si>
  <si>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</si>
  <si>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</si>
  <si>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</si>
  <si>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</si>
  <si>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</si>
  <si>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</si>
  <si>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영업1팀</t>
  </si>
  <si>
    <t>정기</t>
  </si>
  <si>
    <t>김선우</t>
  </si>
  <si>
    <t/>
  </si>
  <si>
    <t>영업 1팀</t>
  </si>
  <si>
    <t>신규</t>
  </si>
  <si>
    <t>분기 이월</t>
  </si>
  <si>
    <t>영업2팀</t>
  </si>
  <si>
    <t>박도현</t>
  </si>
  <si>
    <t>영업1 팀</t>
  </si>
  <si>
    <t>영업3팀</t>
  </si>
  <si>
    <t>이하람</t>
  </si>
  <si>
    <t>특판</t>
  </si>
  <si>
    <t>정유진</t>
  </si>
  <si>
    <t>영업 2팀</t>
  </si>
  <si>
    <t>재계약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</si>
  <si>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</si>
  <si>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</si>
  <si>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</si>
  <si>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</si>
  <si>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</si>
  <si>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</si>
  <si>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</si>
  <si>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</si>
  <si>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</si>
  <si>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</si>
  <si>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</si>
  <si>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</si>
  <si>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</si>
  <si>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</si>
  <si>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</si>
  <si>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</si>
  <si>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</si>
  <si>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</si>
  <si>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</si>
  <si>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</si>
  <si>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</si>
  <si>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</si>
  <si>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</si>
  <si>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</si>
  <si>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</si>
  <si>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</si>
  <si>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</si>
  <si>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</si>
  <si>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시트</t>
  </si>
  <si>
    <t>판정</t>
  </si>
  <si>
    <t>① 차트</t>
  </si>
  <si>
    <t>② 사람이 읽을 글</t>
  </si>
  <si>
    <t>③ 이름이 글자로 적힌 곳</t>
  </si>
  <si>
    <t>월별</t>
  </si>
  <si>
    <t>쓴다</t>
  </si>
  <si>
    <t>있다(월별 차트)</t>
  </si>
  <si>
    <t>없다</t>
  </si>
  <si>
    <t>담당자</t>
  </si>
  <si>
    <t>있다(이름·소속 표)</t>
  </si>
  <si>
    <t>백업_0402</t>
  </si>
  <si>
    <t>모름</t>
  </si>
  <si>
    <t>읽어주세요</t>
  </si>
  <si>
    <t>있다(쓰는 법 안내)</t>
  </si>
  <si>
    <t>있다(백업_0402 이름이 적혀 있다)</t>
  </si>
  <si>
    <t>항목</t>
  </si>
  <si>
    <t>값</t>
  </si>
  <si>
    <t>부서가 적힌 행 수</t>
  </si>
  <si>
    <t>금액 합계</t>
  </si>
  <si>
    <t>부서 표기 수</t>
  </si>
  <si>
    <t>부서 표기</t>
  </si>
  <si>
    <t>건수</t>
  </si>
  <si>
    <t>날짜로 읽히는 칸 수</t>
  </si>
  <si>
    <t>비어 있지 않은 칸 수</t>
  </si>
  <si>
    <t>영업1팀</t>
    <phoneticPr fontId="4" type="noConversion"/>
  </si>
  <si>
    <t>영업1팀</t>
    <phoneticPr fontId="4" type="noConversion"/>
  </si>
  <si>
    <t>영업2팀</t>
    <phoneticPr fontId="4" type="noConversion"/>
  </si>
  <si>
    <t>검산 날짜</t>
  </si>
  <si>
    <t>고친 것 1: 대장 1·2행 제목 병합을 풀었다(값은 A1·A2 한 칸에만)</t>
  </si>
  <si>
    <t>고친 것 2: 대장 A열 글자 날짜를 날짜로 바꿨다</t>
  </si>
  <si>
    <t>고친 것 3: 대장 B열 부서 이름의 공백을 모두 뺐다</t>
  </si>
  <si>
    <t>정리 전</t>
  </si>
  <si>
    <t>정리 후</t>
  </si>
  <si>
    <t>같은가</t>
  </si>
  <si>
    <t>3가지가 되어야 함</t>
  </si>
  <si>
    <t>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</si>
</sst>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3" fontId="0" fillId="0" borderId="0" xfId="0" applyNumberFormat="1"/>
    <xf numFmtId="14" fontId="0" fillId="0" borderId="1" xfId="0" applyNumberFormat="1" applyBorder="1" applyAlignment="1">
      <alignment horizontal="left"/>
    </xf>
    <xf numFmtId="14" fontId="0" fillId="0" borderId="0" xfId="0" applyNumberFormat="1"/>
  </cellXfs>
  <cellStyles count="1">
    <cellStyle name="표준" xfId="0" builtinId="0"/>
  </cellStyles>
  <dxfs count="8">
    <dxf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yyyy/mm/dd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8593632"/>
        <c:axId val="1808594720"/>
      </c:barChart>
      <c:catAx>
        <c:axId val="1808593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08594720"/>
        <c:crosses val="autoZero"/>
        <c:auto val="1"/>
        <c:lblAlgn val="ctr"/>
        <c:lblOffset val="100"/>
        <c:noMultiLvlLbl val="0"/>
      </c:catAx>
      <c:valAx>
        <c:axId val="18085947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8085936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대장표" displayName="대장표" ref="A3:G19" totalsRowShown="0" headerRowDxfId="1">
  <autoFilter ref="A3:G19"/>
  <tableColumns count="7">
    <tableColumn id="1" name="일자" dataDxfId="7"/>
    <tableColumn id="2" name="부서" dataDxfId="6"/>
    <tableColumn id="3" name="구분" dataDxfId="5"/>
    <tableColumn id="4" name="금액" dataDxfId="4"/>
    <tableColumn id="5" name="담당" dataDxfId="3"/>
    <tableColumn id="6" name="비고" dataDxfId="2"/>
    <tableColumn id="7" name="검토">
      <calculatedColumnFormula>IF(D4&gt;=3000000,"확인 필요","")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6.5" x14ac:dyDescent="0.3"/>
  <cols>
    <col min="2" max="2" width="11.125" bestFit="1" customWidth="1"/>
  </cols>
  <sheetData>
    <row r="1" spans="1:4" x14ac:dyDescent="0.3">
      <c r="A1" t="s">
        <v>80</v>
      </c>
      <c r="B1" s="10">
        <v>46286</v>
      </c>
    </row>
    <row r="2" spans="1:4" x14ac:dyDescent="0.3">
      <c r="A2" t="s">
        <v>81</v>
      </c>
    </row>
    <row r="3" spans="1:4" x14ac:dyDescent="0.3">
      <c r="A3" t="s">
        <v>82</v>
      </c>
    </row>
    <row r="4" spans="1:4" x14ac:dyDescent="0.3">
      <c r="A4" t="s">
        <v>83</v>
      </c>
    </row>
    <row r="6" spans="1:4" x14ac:dyDescent="0.3">
      <c r="A6" t="s">
        <v>68</v>
      </c>
      <c r="B6" t="s">
        <v>84</v>
      </c>
      <c r="C6" t="s">
        <v>85</v>
      </c>
      <c r="D6" t="s">
        <v>86</v>
      </c>
    </row>
    <row r="7" spans="1:4" x14ac:dyDescent="0.3">
      <c r="A7" t="s">
        <v>70</v>
      </c>
      <c r="B7">
        <f>'정리 전'!B2</f>
        <v>15</v>
      </c>
      <c r="C7">
        <f>COUNTA(대장!B4:B19)</f>
        <v>15</v>
      </c>
      <c r="D7" t="str">
        <f>IF(B7=C7,"같음","다름")</f>
        <v>같음</v>
      </c>
    </row>
    <row r="8" spans="1:4" x14ac:dyDescent="0.3">
      <c r="A8" t="s">
        <v>71</v>
      </c>
      <c r="B8" s="8">
        <f>'정리 전'!B3</f>
        <v>34320000</v>
      </c>
      <c r="C8" s="8">
        <f>SUM(대장!D4:D19)</f>
        <v>34320000</v>
      </c>
      <c r="D8" t="str">
        <f>IF(B8=C8,"같음","다름")</f>
        <v>같음</v>
      </c>
    </row>
    <row r="9" spans="1:4" x14ac:dyDescent="0.3">
      <c r="A9" t="s">
        <v>72</v>
      </c>
      <c r="B9">
        <f>'정리 전'!B4</f>
        <v>6</v>
      </c>
      <c r="C9">
        <f>SUMPRODUCT((대장!B4:B19&lt;&gt;"")/COUNTIF(대장!B4:B19,대장!B4:B19&amp;""))</f>
        <v>3</v>
      </c>
      <c r="D9" t="s">
        <v>87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6.5" x14ac:dyDescent="0.3"/>
  <sheetData>
    <row r="1" spans="1:2" x14ac:dyDescent="0.3">
      <c r="A1" t="s">
        <v>75</v>
      </c>
      <c r="B1">
        <f>SUMPRODUCT(--ISNUMBER(대장!A4:A19))</f>
        <v>15</v>
      </c>
    </row>
    <row r="2" spans="1:2" x14ac:dyDescent="0.3">
      <c r="A2" t="s">
        <v>76</v>
      </c>
      <c r="B2">
        <f>COUNTA(대장!A4:A19)</f>
        <v>15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sheetData>
    <row r="1" spans="1:2" x14ac:dyDescent="0.3">
      <c r="A1" t="s">
        <v>68</v>
      </c>
      <c r="B1" t="s">
        <v>69</v>
      </c>
    </row>
    <row r="2" spans="1:2" x14ac:dyDescent="0.3">
      <c r="A2" t="s">
        <v>70</v>
      </c>
      <c r="B2">
        <v>15</v>
      </c>
    </row>
    <row r="3" spans="1:2" x14ac:dyDescent="0.3">
      <c r="A3" t="s">
        <v>71</v>
      </c>
      <c r="B3" s="8">
        <v>34320000</v>
      </c>
    </row>
    <row r="4" spans="1:2" x14ac:dyDescent="0.3">
      <c r="A4" t="s">
        <v>72</v>
      </c>
      <c r="B4">
        <v>6</v>
      </c>
    </row>
    <row r="6" spans="1:2" x14ac:dyDescent="0.3">
      <c r="A6" t="s">
        <v>73</v>
      </c>
      <c r="B6" t="s">
        <v>74</v>
      </c>
    </row>
    <row r="7" spans="1:2" x14ac:dyDescent="0.3">
      <c r="A7" t="s">
        <v>8</v>
      </c>
      <c r="B7">
        <v>4</v>
      </c>
    </row>
    <row r="8" spans="1:2" x14ac:dyDescent="0.3">
      <c r="A8" t="s">
        <v>12</v>
      </c>
      <c r="B8">
        <v>1</v>
      </c>
    </row>
    <row r="9" spans="1:2" x14ac:dyDescent="0.3">
      <c r="A9" t="s">
        <v>15</v>
      </c>
      <c r="B9">
        <v>4</v>
      </c>
    </row>
    <row r="10" spans="1:2" x14ac:dyDescent="0.3">
      <c r="A10" t="s">
        <v>17</v>
      </c>
      <c r="B10">
        <v>1</v>
      </c>
    </row>
    <row r="11" spans="1:2" x14ac:dyDescent="0.3">
      <c r="A11" t="s">
        <v>18</v>
      </c>
      <c r="B11">
        <v>4</v>
      </c>
    </row>
    <row r="12" spans="1:2" x14ac:dyDescent="0.3">
      <c r="A12" t="s">
        <v>22</v>
      </c>
      <c r="B12">
        <v>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6.5" x14ac:dyDescent="0.3"/>
  <sheetData>
    <row r="1" spans="1:5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">
      <c r="A2" t="s">
        <v>57</v>
      </c>
      <c r="B2" t="s">
        <v>58</v>
      </c>
      <c r="C2" t="s">
        <v>59</v>
      </c>
      <c r="D2" t="s">
        <v>60</v>
      </c>
      <c r="E2" t="s">
        <v>60</v>
      </c>
    </row>
    <row r="3" spans="1:5" x14ac:dyDescent="0.3">
      <c r="A3" t="s">
        <v>61</v>
      </c>
      <c r="B3" t="s">
        <v>58</v>
      </c>
      <c r="C3" t="s">
        <v>60</v>
      </c>
      <c r="D3" t="s">
        <v>62</v>
      </c>
      <c r="E3" t="s">
        <v>60</v>
      </c>
    </row>
    <row r="4" spans="1:5" x14ac:dyDescent="0.3">
      <c r="A4" t="s">
        <v>63</v>
      </c>
      <c r="B4" t="s">
        <v>64</v>
      </c>
      <c r="C4" t="s">
        <v>60</v>
      </c>
      <c r="D4" t="s">
        <v>60</v>
      </c>
      <c r="E4" t="s">
        <v>60</v>
      </c>
    </row>
    <row r="5" spans="1:5" x14ac:dyDescent="0.3">
      <c r="A5" t="s">
        <v>65</v>
      </c>
      <c r="B5" t="s">
        <v>58</v>
      </c>
      <c r="C5" t="s">
        <v>60</v>
      </c>
      <c r="D5" t="s">
        <v>66</v>
      </c>
      <c r="E5" t="s">
        <v>67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7" x14ac:dyDescent="0.3">
      <c r="A1" s="1" t="s">
        <v>0</v>
      </c>
      <c r="B1" s="1"/>
      <c r="C1" s="1"/>
      <c r="D1" s="1"/>
      <c r="E1" s="1"/>
      <c r="F1" s="1"/>
    </row>
    <row r="2" spans="1:7" x14ac:dyDescent="0.3">
      <c r="A2" s="1" t="s">
        <v>1</v>
      </c>
      <c r="B2" s="1"/>
      <c r="C2" s="1"/>
    </row>
    <row r="3" spans="1:7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t="s">
        <v>88</v>
      </c>
    </row>
    <row r="4" spans="1:7" x14ac:dyDescent="0.3">
      <c r="A4" s="9">
        <v>46030</v>
      </c>
      <c r="B4" s="4" t="s">
        <v>8</v>
      </c>
      <c r="C4" s="4" t="s">
        <v>9</v>
      </c>
      <c r="D4" s="5">
        <v>1240000</v>
      </c>
      <c r="E4" s="4" t="s">
        <v>10</v>
      </c>
      <c r="F4" s="4" t="s">
        <v>11</v>
      </c>
      <c r="G4" t="str">
        <f>IF(D4&gt;=3000000,"확인 필요","")</f>
        <v/>
      </c>
    </row>
    <row r="5" spans="1:7" x14ac:dyDescent="0.3">
      <c r="A5" s="9">
        <v>46037</v>
      </c>
      <c r="B5" s="4" t="s">
        <v>77</v>
      </c>
      <c r="C5" s="4" t="s">
        <v>13</v>
      </c>
      <c r="D5" s="5">
        <v>880000</v>
      </c>
      <c r="E5" s="4" t="s">
        <v>10</v>
      </c>
      <c r="F5" s="4" t="s">
        <v>14</v>
      </c>
      <c r="G5" t="str">
        <f>IF(D5&gt;=3000000,"확인 필요","")</f>
        <v/>
      </c>
    </row>
    <row r="6" spans="1:7" x14ac:dyDescent="0.3">
      <c r="A6" s="9">
        <v>46044</v>
      </c>
      <c r="B6" s="4" t="s">
        <v>15</v>
      </c>
      <c r="C6" s="4" t="s">
        <v>9</v>
      </c>
      <c r="D6" s="5">
        <v>3050000</v>
      </c>
      <c r="E6" s="4" t="s">
        <v>16</v>
      </c>
      <c r="F6" s="4" t="s">
        <v>11</v>
      </c>
      <c r="G6" t="str">
        <f>IF(D6&gt;=3000000,"확인 필요","")</f>
        <v>확인 필요</v>
      </c>
    </row>
    <row r="7" spans="1:7" x14ac:dyDescent="0.3">
      <c r="A7" s="9">
        <v>46056</v>
      </c>
      <c r="B7" s="4" t="s">
        <v>15</v>
      </c>
      <c r="C7" s="4" t="s">
        <v>13</v>
      </c>
      <c r="D7" s="5">
        <v>2100000</v>
      </c>
      <c r="E7" s="4" t="s">
        <v>16</v>
      </c>
      <c r="F7" s="4" t="s">
        <v>11</v>
      </c>
      <c r="G7" t="str">
        <f>IF(D7&gt;=3000000,"확인 필요","")</f>
        <v/>
      </c>
    </row>
    <row r="8" spans="1:7" x14ac:dyDescent="0.3">
      <c r="A8" s="9">
        <v>46067</v>
      </c>
      <c r="B8" s="4" t="s">
        <v>78</v>
      </c>
      <c r="C8" s="4" t="s">
        <v>9</v>
      </c>
      <c r="D8" s="5">
        <v>1760000</v>
      </c>
      <c r="E8" s="4" t="s">
        <v>10</v>
      </c>
      <c r="F8" s="4" t="s">
        <v>11</v>
      </c>
      <c r="G8" t="str">
        <f>IF(D8&gt;=3000000,"확인 필요","")</f>
        <v/>
      </c>
    </row>
    <row r="9" spans="1:7" x14ac:dyDescent="0.3">
      <c r="A9" s="9">
        <v>46080</v>
      </c>
      <c r="B9" s="4" t="s">
        <v>18</v>
      </c>
      <c r="C9" s="4" t="s">
        <v>13</v>
      </c>
      <c r="D9" s="5">
        <v>4310000</v>
      </c>
      <c r="E9" s="4" t="s">
        <v>19</v>
      </c>
      <c r="F9" s="4" t="s">
        <v>20</v>
      </c>
      <c r="G9" t="str">
        <f>IF(D9&gt;=3000000,"확인 필요","")</f>
        <v>확인 필요</v>
      </c>
    </row>
    <row r="10" spans="1:7" x14ac:dyDescent="0.3">
      <c r="A10" s="9">
        <v>46086</v>
      </c>
      <c r="B10" s="4" t="s">
        <v>18</v>
      </c>
      <c r="C10" s="4" t="s">
        <v>9</v>
      </c>
      <c r="D10" s="5">
        <v>2650000</v>
      </c>
      <c r="E10" s="4" t="s">
        <v>19</v>
      </c>
      <c r="F10" s="4" t="s">
        <v>11</v>
      </c>
      <c r="G10" t="str">
        <f>IF(D10&gt;=3000000,"확인 필요","")</f>
        <v/>
      </c>
    </row>
    <row r="11" spans="1:7" x14ac:dyDescent="0.3">
      <c r="A11" s="9">
        <v>46092</v>
      </c>
      <c r="B11" s="4" t="s">
        <v>8</v>
      </c>
      <c r="C11" s="4" t="s">
        <v>13</v>
      </c>
      <c r="D11" s="5">
        <v>1020000</v>
      </c>
      <c r="E11" s="4" t="s">
        <v>21</v>
      </c>
      <c r="F11" s="4" t="s">
        <v>11</v>
      </c>
      <c r="G11" t="str">
        <f>IF(D11&gt;=3000000,"확인 필요","")</f>
        <v/>
      </c>
    </row>
    <row r="12" spans="1:7" x14ac:dyDescent="0.3">
      <c r="G12" t="str">
        <f>IF(D12&gt;=3000000,"확인 필요","")</f>
        <v/>
      </c>
    </row>
    <row r="13" spans="1:7" x14ac:dyDescent="0.3">
      <c r="A13" s="9">
        <v>46100</v>
      </c>
      <c r="B13" s="4" t="s">
        <v>15</v>
      </c>
      <c r="C13" s="4" t="s">
        <v>9</v>
      </c>
      <c r="D13" s="5">
        <v>3480000</v>
      </c>
      <c r="E13" s="4" t="s">
        <v>16</v>
      </c>
      <c r="F13" s="4" t="s">
        <v>11</v>
      </c>
      <c r="G13" t="str">
        <f>IF(D13&gt;=3000000,"확인 필요","")</f>
        <v>확인 필요</v>
      </c>
    </row>
    <row r="14" spans="1:7" x14ac:dyDescent="0.3">
      <c r="A14" s="9">
        <v>46107</v>
      </c>
      <c r="B14" s="4" t="s">
        <v>79</v>
      </c>
      <c r="C14" s="4" t="s">
        <v>13</v>
      </c>
      <c r="D14" s="5">
        <v>1950000</v>
      </c>
      <c r="E14" s="4" t="s">
        <v>21</v>
      </c>
      <c r="F14" s="4" t="s">
        <v>23</v>
      </c>
      <c r="G14" t="str">
        <f>IF(D14&gt;=3000000,"확인 필요","")</f>
        <v/>
      </c>
    </row>
    <row r="15" spans="1:7" x14ac:dyDescent="0.3">
      <c r="A15" s="9">
        <v>46114</v>
      </c>
      <c r="B15" s="4" t="s">
        <v>18</v>
      </c>
      <c r="C15" s="4" t="s">
        <v>9</v>
      </c>
      <c r="D15" s="5">
        <v>2240000</v>
      </c>
      <c r="E15" s="4" t="s">
        <v>19</v>
      </c>
      <c r="F15" s="4" t="s">
        <v>11</v>
      </c>
      <c r="G15" t="str">
        <f>IF(D15&gt;=3000000,"확인 필요","")</f>
        <v/>
      </c>
    </row>
    <row r="16" spans="1:7" x14ac:dyDescent="0.3">
      <c r="A16" s="9">
        <v>46128</v>
      </c>
      <c r="B16" s="4" t="s">
        <v>8</v>
      </c>
      <c r="C16" s="4" t="s">
        <v>9</v>
      </c>
      <c r="D16" s="5">
        <v>1430000</v>
      </c>
      <c r="E16" s="4" t="s">
        <v>10</v>
      </c>
      <c r="F16" s="4" t="s">
        <v>11</v>
      </c>
      <c r="G16" t="str">
        <f>IF(D16&gt;=3000000,"확인 필요","")</f>
        <v/>
      </c>
    </row>
    <row r="17" spans="1:7" x14ac:dyDescent="0.3">
      <c r="A17" s="9">
        <v>46135</v>
      </c>
      <c r="B17" s="4" t="s">
        <v>15</v>
      </c>
      <c r="C17" s="4" t="s">
        <v>13</v>
      </c>
      <c r="D17" s="5">
        <v>2870000</v>
      </c>
      <c r="E17" s="4" t="s">
        <v>16</v>
      </c>
      <c r="F17" s="4" t="s">
        <v>11</v>
      </c>
      <c r="G17" t="str">
        <f>IF(D17&gt;=3000000,"확인 필요","")</f>
        <v/>
      </c>
    </row>
    <row r="18" spans="1:7" x14ac:dyDescent="0.3">
      <c r="A18" s="9">
        <v>46149</v>
      </c>
      <c r="B18" s="4" t="s">
        <v>18</v>
      </c>
      <c r="C18" s="4" t="s">
        <v>13</v>
      </c>
      <c r="D18" s="5">
        <v>3760000</v>
      </c>
      <c r="E18" s="4" t="s">
        <v>21</v>
      </c>
      <c r="F18" s="4" t="s">
        <v>11</v>
      </c>
      <c r="G18" t="str">
        <f>IF(D18&gt;=3000000,"확인 필요","")</f>
        <v>확인 필요</v>
      </c>
    </row>
    <row r="19" spans="1:7" x14ac:dyDescent="0.3">
      <c r="A19" s="9">
        <v>46163</v>
      </c>
      <c r="B19" s="4" t="s">
        <v>8</v>
      </c>
      <c r="C19" s="4" t="s">
        <v>9</v>
      </c>
      <c r="D19" s="5">
        <v>1580000</v>
      </c>
      <c r="E19" s="4" t="s">
        <v>10</v>
      </c>
      <c r="F19" s="4" t="s">
        <v>24</v>
      </c>
      <c r="G19" t="str">
        <f>IF(D19&gt;=3000000,"확인 필요","")</f>
        <v/>
      </c>
    </row>
  </sheetData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6" t="s">
        <v>25</v>
      </c>
    </row>
    <row r="2" spans="1:3" x14ac:dyDescent="0.3">
      <c r="A2" s="2" t="s">
        <v>3</v>
      </c>
      <c r="B2" s="2" t="s">
        <v>26</v>
      </c>
      <c r="C2" s="2" t="s">
        <v>27</v>
      </c>
    </row>
    <row r="3" spans="1:3" x14ac:dyDescent="0.3">
      <c r="A3" s="4" t="s">
        <v>8</v>
      </c>
      <c r="B3" s="5">
        <v>6000000</v>
      </c>
      <c r="C3" s="7">
        <v>0.04</v>
      </c>
    </row>
    <row r="4" spans="1:3" x14ac:dyDescent="0.3">
      <c r="A4" s="4" t="s">
        <v>15</v>
      </c>
      <c r="B4" s="5">
        <v>12000000</v>
      </c>
      <c r="C4" s="7">
        <v>4.4999999999999998E-2</v>
      </c>
    </row>
    <row r="5" spans="1:3" x14ac:dyDescent="0.3">
      <c r="A5" s="4" t="s">
        <v>18</v>
      </c>
      <c r="B5" s="5">
        <v>11000000</v>
      </c>
      <c r="C5" s="7">
        <v>0.05</v>
      </c>
    </row>
    <row r="7" spans="1:3" x14ac:dyDescent="0.3">
      <c r="A7" s="2" t="s">
        <v>4</v>
      </c>
      <c r="B7" s="2" t="s">
        <v>28</v>
      </c>
    </row>
    <row r="8" spans="1:3" x14ac:dyDescent="0.3">
      <c r="A8" s="4" t="s">
        <v>9</v>
      </c>
      <c r="B8" s="7">
        <v>0.03</v>
      </c>
    </row>
    <row r="9" spans="1:3" x14ac:dyDescent="0.3">
      <c r="A9" s="4" t="s">
        <v>13</v>
      </c>
      <c r="B9" s="7">
        <v>0.05</v>
      </c>
    </row>
    <row r="10" spans="1:3" x14ac:dyDescent="0.3">
      <c r="A10" s="4" t="s">
        <v>20</v>
      </c>
      <c r="B10" s="7">
        <v>7.0000000000000007E-2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6" t="s">
        <v>29</v>
      </c>
    </row>
    <row r="2" spans="1:4" x14ac:dyDescent="0.3">
      <c r="A2" s="2" t="s">
        <v>3</v>
      </c>
      <c r="B2" s="2" t="s">
        <v>30</v>
      </c>
      <c r="C2" s="2" t="s">
        <v>31</v>
      </c>
      <c r="D2" s="2" t="s">
        <v>32</v>
      </c>
    </row>
    <row r="3" spans="1:4" x14ac:dyDescent="0.3">
      <c r="A3" s="4" t="s">
        <v>8</v>
      </c>
      <c r="B3" s="5">
        <f>SUMIF(대장!$B$4:$B$19,A3,대장!$D$4:$D$19)</f>
        <v>7910000</v>
      </c>
      <c r="C3" s="7">
        <f>IFERROR(B3/VLOOKUP(A3,기준!$A$3:$B$5,2,FALSE),"")</f>
        <v>1.3183333333333334</v>
      </c>
      <c r="D3" s="5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537000</v>
      </c>
    </row>
    <row r="4" spans="1:4" x14ac:dyDescent="0.3">
      <c r="A4" s="4" t="s">
        <v>15</v>
      </c>
      <c r="B4" s="5">
        <f>SUMIF(대장!$B$4:$B$19,A4,대장!$D$4:$D$19)</f>
        <v>13450000</v>
      </c>
      <c r="C4" s="7">
        <f>IFERROR(B4/VLOOKUP(A4,기준!$A$3:$B$5,2,FALSE),"")</f>
        <v>1.1208333333333333</v>
      </c>
      <c r="D4" s="5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704000</v>
      </c>
    </row>
    <row r="5" spans="1:4" x14ac:dyDescent="0.3">
      <c r="A5" s="4" t="s">
        <v>18</v>
      </c>
      <c r="B5" s="5">
        <f>SUMIF(대장!$B$4:$B$19,A5,대장!$D$4:$D$19)</f>
        <v>12960000</v>
      </c>
      <c r="C5" s="7">
        <f>IFERROR(B5/VLOOKUP(A5,기준!$A$3:$B$5,2,FALSE),"")</f>
        <v>1.1781818181818182</v>
      </c>
      <c r="D5" s="5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2" t="s">
        <v>33</v>
      </c>
      <c r="B7" s="5">
        <f>SUM(B3:B5)</f>
        <v>34320000</v>
      </c>
      <c r="D7" s="5">
        <f>SUM(D3:D5)</f>
        <v>1630000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34</v>
      </c>
      <c r="B1" t="s">
        <v>35</v>
      </c>
    </row>
    <row r="2" spans="1:2" x14ac:dyDescent="0.3">
      <c r="A2" s="4" t="s">
        <v>36</v>
      </c>
      <c r="B2" s="5">
        <v>5170000</v>
      </c>
    </row>
    <row r="3" spans="1:2" x14ac:dyDescent="0.3">
      <c r="A3" s="4" t="s">
        <v>37</v>
      </c>
      <c r="B3" s="5">
        <v>8170000</v>
      </c>
    </row>
    <row r="4" spans="1:2" x14ac:dyDescent="0.3">
      <c r="A4" s="4" t="s">
        <v>38</v>
      </c>
      <c r="B4" s="5">
        <v>9340000</v>
      </c>
    </row>
    <row r="5" spans="1:2" x14ac:dyDescent="0.3">
      <c r="A5" s="4" t="s">
        <v>39</v>
      </c>
      <c r="B5" s="5">
        <v>6540000</v>
      </c>
    </row>
    <row r="6" spans="1:2" x14ac:dyDescent="0.3">
      <c r="A6" s="4" t="s">
        <v>40</v>
      </c>
      <c r="B6" s="5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41</v>
      </c>
      <c r="B1" t="s">
        <v>42</v>
      </c>
      <c r="C1" t="s">
        <v>43</v>
      </c>
    </row>
    <row r="2" spans="1:3" x14ac:dyDescent="0.3">
      <c r="A2" s="4" t="s">
        <v>10</v>
      </c>
      <c r="B2" s="4" t="s">
        <v>8</v>
      </c>
      <c r="C2" s="3" t="s">
        <v>44</v>
      </c>
    </row>
    <row r="3" spans="1:3" x14ac:dyDescent="0.3">
      <c r="A3" s="4" t="s">
        <v>16</v>
      </c>
      <c r="B3" s="4" t="s">
        <v>15</v>
      </c>
      <c r="C3" s="3" t="s">
        <v>45</v>
      </c>
    </row>
    <row r="4" spans="1:3" x14ac:dyDescent="0.3">
      <c r="A4" s="4" t="s">
        <v>19</v>
      </c>
      <c r="B4" s="4" t="s">
        <v>18</v>
      </c>
      <c r="C4" s="3" t="s">
        <v>46</v>
      </c>
    </row>
    <row r="5" spans="1:3" x14ac:dyDescent="0.3">
      <c r="A5" s="4" t="s">
        <v>21</v>
      </c>
      <c r="B5" s="4" t="s">
        <v>8</v>
      </c>
      <c r="C5" s="3" t="s">
        <v>47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48</v>
      </c>
    </row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3</vt:i4>
      </vt:variant>
    </vt:vector>
  </HeadingPairs>
  <TitlesOfParts>
    <vt:vector size="13" baseType="lpstr">
      <vt:lpstr>검산</vt:lpstr>
      <vt:lpstr>날짜검산</vt:lpstr>
      <vt:lpstr>정리 전</vt:lpstr>
      <vt:lpstr>정리후보</vt:lpstr>
      <vt:lpstr>대장</vt:lpstr>
      <vt:lpstr>기준</vt:lpstr>
      <vt:lpstr>정산</vt:lpstr>
      <vt:lpstr>월별</vt:lpstr>
      <vt:lpstr>담당자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2026-09-21T14:59:57Z</dcterms:modified>
</cp:coreProperties>
</file>