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대조" sheetId="8" r:id="rId1"/>
    <sheet name="대장" sheetId="1" r:id="rId2"/>
    <sheet name="기준" sheetId="2" r:id="rId3"/>
    <sheet name="정산" sheetId="3" r:id="rId4"/>
    <sheet name="월별" sheetId="4" r:id="rId5"/>
    <sheet name="담당자" sheetId="5" r:id="rId6"/>
    <sheet name="백업_0402" sheetId="6" r:id="rId7"/>
    <sheet name="읽어주세요" sheetId="7" r:id="rId8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5" i="8" l="1"/>
  <c r="B4" i="8"/>
  <c r="B3" i="8"/>
  <c r="B5" i="3"/>
  <c r="C5" i="3" s="1"/>
  <c r="B4" i="3"/>
  <c r="C4" i="3" s="1"/>
  <c r="B3" i="3"/>
  <c r="D3" i="3" s="1"/>
  <c r="C3" i="8" l="1"/>
  <c r="D3" i="8" s="1"/>
  <c r="E3" i="8" s="1"/>
  <c r="G3" i="8" s="1"/>
  <c r="C5" i="8"/>
  <c r="D5" i="8" s="1"/>
  <c r="E5" i="8" s="1"/>
  <c r="C4" i="8"/>
  <c r="D4" i="8" s="1"/>
  <c r="E4" i="8" s="1"/>
  <c r="D4" i="3"/>
  <c r="D7" i="3" s="1"/>
  <c r="B7" i="3"/>
  <c r="D5" i="3"/>
  <c r="C3" i="3"/>
</calcChain>
</file>

<file path=xl/sharedStrings.xml><?xml version="1.0" encoding="utf-8"?>
<sst xmlns="http://schemas.openxmlformats.org/spreadsheetml/2006/main" count="156" uniqueCount="74">
  <si>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</si>
  <si>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</si>
  <si>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</si>
  <si>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</si>
  <si>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</si>
  <si>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</si>
  <si>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</si>
  <si>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</si>
  <si>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</si>
  <si>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</si>
  <si>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</si>
  <si>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</si>
  <si>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</si>
  <si>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</si>
  <si>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</si>
  <si>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</si>
  <si>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</si>
  <si>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</si>
  <si>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</si>
  <si>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</si>
  <si>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</si>
  <si>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</si>
  <si>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</si>
  <si>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</si>
  <si>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</si>
  <si>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</si>
  <si>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</si>
  <si>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</si>
  <si>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</si>
  <si>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</si>
  <si>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</si>
  <si>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</si>
  <si>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</si>
  <si>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</si>
  <si>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</si>
  <si>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</si>
  <si>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</si>
  <si>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</si>
  <si>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</si>
  <si>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</si>
  <si>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</si>
  <si>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</si>
  <si>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</si>
  <si>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</si>
  <si>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</si>
  <si>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</si>
  <si>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</si>
  <si>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</si>
  <si>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</si>
  <si>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</si>
  <si>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</si>
  <si>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</si>
  <si>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</si>
  <si>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</si>
  <si>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</si>
  <si>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</si>
  <si>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</si>
  <si>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</si>
  <si>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</si>
  <si>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</si>
  <si>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</si>
  <si>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</si>
  <si>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</si>
  <si>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</si>
  <si>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</si>
  <si>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</si>
  <si>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</si>
  <si>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</si>
  <si>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옛 수식과 새 수식 대조</t>
  </si>
  <si>
    <t>옛 수식</t>
  </si>
  <si>
    <t>새 수식</t>
  </si>
  <si>
    <t>차이</t>
  </si>
  <si>
    <t>다른가</t>
  </si>
  <si>
    <t>다른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</si>
</sst>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261072"/>
        <c:axId val="1572252912"/>
      </c:barChart>
      <c:catAx>
        <c:axId val="1572261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72252912"/>
        <c:crosses val="autoZero"/>
        <c:auto val="1"/>
        <c:lblAlgn val="ctr"/>
        <c:lblOffset val="100"/>
        <c:noMultiLvlLbl val="0"/>
      </c:catAx>
      <c:valAx>
        <c:axId val="15722529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572261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/>
  </sheetViews>
  <sheetFormatPr defaultRowHeight="16.5" x14ac:dyDescent="0.3"/>
  <sheetData>
    <row r="1" spans="1:7" x14ac:dyDescent="0.3">
      <c r="A1" t="s">
        <v>68</v>
      </c>
    </row>
    <row r="2" spans="1:7" x14ac:dyDescent="0.3">
      <c r="A2" t="s">
        <v>3</v>
      </c>
      <c r="B2" t="s">
        <v>69</v>
      </c>
      <c r="C2" t="s">
        <v>70</v>
      </c>
      <c r="D2" t="s">
        <v>71</v>
      </c>
      <c r="E2" t="s">
        <v>72</v>
      </c>
      <c r="G2" t="s">
        <v>73</v>
      </c>
    </row>
    <row r="3" spans="1:7" x14ac:dyDescent="0.3">
      <c r="A3" t="s">
        <v>9</v>
      </c>
      <c r="B3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  <c r="C3">
        <f>ROUND(IF(정산!B3&gt;=VLOOKUP(A3,기준!$A$3:$B$5,2,FALSE),정산!B3*기준요율+IF(COUNTIF(대장!$B$4:$B$19,A3)&gt;4,성과가산,0),정산!B3*기준요율*0.5),-3)</f>
        <v>79000</v>
      </c>
      <c r="D3">
        <f>C3-B3</f>
        <v>0</v>
      </c>
      <c r="E3" t="str">
        <f>IF(D3&lt;&gt;0,"다름","")</f>
        <v/>
      </c>
      <c r="G3">
        <f>COUNTIF(E3:E100,"다름")</f>
        <v>0</v>
      </c>
    </row>
    <row r="4" spans="1:7" x14ac:dyDescent="0.3">
      <c r="A4" t="s">
        <v>18</v>
      </c>
      <c r="B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  <c r="C4">
        <f>ROUND(IF(정산!B4&gt;=VLOOKUP(A4,기준!$A$3:$B$5,2,FALSE),정산!B4*기준요율+IF(COUNTIF(대장!$B$4:$B$19,A4)&gt;4,성과가산,0),정산!B4*기준요율*0.5),-3)</f>
        <v>173000</v>
      </c>
      <c r="D4">
        <f>C4-B4</f>
        <v>0</v>
      </c>
      <c r="E4" t="str">
        <f>IF(D4&lt;&gt;0,"다름","")</f>
        <v/>
      </c>
    </row>
    <row r="5" spans="1:7" x14ac:dyDescent="0.3">
      <c r="A5" t="s">
        <v>24</v>
      </c>
      <c r="B5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  <c r="C5">
        <f>ROUND(IF(정산!B5&gt;=VLOOKUP(A5,기준!$A$3:$B$5,2,FALSE),정산!B5*기준요율+IF(COUNTIF(대장!$B$4:$B$19,A5)&gt;4,성과가산,0),정산!B5*기준요율*0.5),-3)</f>
        <v>389000</v>
      </c>
      <c r="D5">
        <f>C5-B5</f>
        <v>0</v>
      </c>
      <c r="E5" t="str">
        <f>IF(D5&lt;&gt;0,"다름","")</f>
        <v/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ROUND(IF(정산!B3&gt;=VLOOKUP(A3,기준!$A$3:$B$5,2,FALSE),정산!B3*기준요율+IF(COUNTIF(대장!$B$4:$B$19,A3)&gt;4,성과가산,0),정산!B3*기준요율*0.5),-3)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ROUND(IF(정산!B4&gt;=VLOOKUP(A4,기준!$A$3:$B$5,2,FALSE),정산!B4*기준요율+IF(COUNTIF(대장!$B$4:$B$19,A4)&gt;4,성과가산,0),정산!B4*기준요율*0.5),-3)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ROUND(IF(정산!B5&gt;=VLOOKUP(A5,기준!$A$3:$B$5,2,FALSE),정산!B5*기준요율+IF(COUNTIF(대장!$B$4:$B$19,A5)&gt;4,성과가산,0),정산!B5*기준요율*0.5),-3)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대조</vt:lpstr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2026-09-21T14:59:12Z</dcterms:modified>
</cp:coreProperties>
</file>