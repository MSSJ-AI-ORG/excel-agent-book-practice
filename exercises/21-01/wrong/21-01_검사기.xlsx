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검사기" sheetId="8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9" i="8" l="1"/>
  <c r="B8" i="8"/>
  <c r="B7" i="8"/>
  <c r="B6" i="8"/>
  <c r="B5" i="8"/>
  <c r="B4" i="8"/>
  <c r="B3" i="8"/>
  <c r="B2" i="8"/>
  <c r="C2" i="8" s="1"/>
  <c r="D5" i="3"/>
  <c r="B5" i="3"/>
  <c r="C5" i="3" s="1"/>
  <c r="D4" i="3"/>
  <c r="B4" i="3"/>
  <c r="C4" i="3" s="1"/>
  <c r="D3" i="3"/>
  <c r="B3" i="3"/>
  <c r="B7" i="3" s="1"/>
  <c r="C3" i="8" l="1"/>
  <c r="D3" i="8" s="1"/>
  <c r="C5" i="8"/>
  <c r="D5" i="8" s="1"/>
  <c r="C6" i="8"/>
  <c r="D6" i="8" s="1"/>
  <c r="C7" i="8"/>
  <c r="D7" i="8" s="1"/>
  <c r="C4" i="8"/>
  <c r="D4" i="8" s="1"/>
  <c r="C8" i="8"/>
  <c r="D8" i="8" s="1"/>
  <c r="C9" i="8"/>
  <c r="D9" i="8" s="1"/>
  <c r="D2" i="8"/>
  <c r="D7" i="3"/>
  <c r="C3" i="3"/>
</calcChain>
</file>

<file path=xl/sharedStrings.xml><?xml version="1.0" encoding="utf-8"?>
<sst xmlns="http://schemas.openxmlformats.org/spreadsheetml/2006/main" count="158" uniqueCount="80">
  <si>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</si>
  <si>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</si>
  <si>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</si>
  <si>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</si>
  <si>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</si>
  <si>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</si>
  <si>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</si>
  <si>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</si>
  <si>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</si>
  <si>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</si>
  <si>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</si>
  <si>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</si>
  <si>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</si>
  <si>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</si>
  <si>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</si>
  <si>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</si>
  <si>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</si>
  <si>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</si>
  <si>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</si>
  <si>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</si>
  <si>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</si>
  <si>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</si>
  <si>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</si>
  <si>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</si>
  <si>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</si>
  <si>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</si>
  <si>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</si>
  <si>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</si>
  <si>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</si>
  <si>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</si>
  <si>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</si>
  <si>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</si>
  <si>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</si>
  <si>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</si>
  <si>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</si>
  <si>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</si>
  <si>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</si>
  <si>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</si>
  <si>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</si>
  <si>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</si>
  <si>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</si>
  <si>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</si>
  <si>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</si>
  <si>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</si>
  <si>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</si>
  <si>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</si>
  <si>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</si>
  <si>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</si>
  <si>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</si>
  <si>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</si>
  <si>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</si>
  <si>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</si>
  <si>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</si>
  <si>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</si>
  <si>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</si>
  <si>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</si>
  <si>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</si>
  <si>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</si>
  <si>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</si>
  <si>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</si>
  <si>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</si>
  <si>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</si>
  <si>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</si>
  <si>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</si>
  <si>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</si>
  <si>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</si>
  <si>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</si>
  <si>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</si>
  <si>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</si>
  <si>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값</t>
  </si>
  <si>
    <t>기준</t>
  </si>
  <si>
    <t>판정</t>
  </si>
  <si>
    <t>부서가 적힌 줄 수</t>
  </si>
  <si>
    <t>금액 총합</t>
  </si>
  <si>
    <t>부서는 있는데 금액이 빈 줄 수</t>
  </si>
  <si>
    <t>금액이 음수인 줄 수</t>
  </si>
  <si>
    <t>금액이 1억을 넘는 줄 수</t>
  </si>
  <si>
    <t>부서 표기 가짓수</t>
  </si>
  <si>
    <t>부서는 있는데 담당이 빈 줄 수</t>
  </si>
  <si>
    <t>중복 줄 수(일자+부서+금액이 같은 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</si>
</sst>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19728"/>
        <c:axId val="2111620272"/>
      </c:barChart>
      <c:catAx>
        <c:axId val="2111619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1620272"/>
        <c:crosses val="autoZero"/>
        <c:auto val="1"/>
        <c:lblAlgn val="ctr"/>
        <c:lblOffset val="100"/>
        <c:noMultiLvlLbl val="0"/>
      </c:catAx>
      <c:valAx>
        <c:axId val="2111620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1619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6.5" x14ac:dyDescent="0.3"/>
  <cols>
    <col min="1" max="1" width="36.875" bestFit="1" customWidth="1"/>
    <col min="2" max="3" width="10.25" bestFit="1" customWidth="1"/>
    <col min="4" max="4" width="5.25" bestFit="1" customWidth="1"/>
  </cols>
  <sheetData>
    <row r="1" spans="1:4" x14ac:dyDescent="0.3">
      <c r="A1" t="s">
        <v>68</v>
      </c>
      <c r="B1" t="s">
        <v>69</v>
      </c>
      <c r="C1" t="s">
        <v>70</v>
      </c>
      <c r="D1" t="s">
        <v>71</v>
      </c>
    </row>
    <row r="2" spans="1:4" x14ac:dyDescent="0.3">
      <c r="A2" t="s">
        <v>72</v>
      </c>
      <c r="B2" s="8">
        <f>COUNTA(대장!B4:B19)</f>
        <v>15</v>
      </c>
      <c r="C2" s="8">
        <f>B2</f>
        <v>15</v>
      </c>
      <c r="D2" t="str">
        <f>IF(B2=C2,"통과","확인")</f>
        <v>통과</v>
      </c>
    </row>
    <row r="3" spans="1:4" x14ac:dyDescent="0.3">
      <c r="A3" t="s">
        <v>73</v>
      </c>
      <c r="B3" s="8">
        <f>SUM(대장!D4:D19)</f>
        <v>34320000</v>
      </c>
      <c r="C3" s="8">
        <f>B3</f>
        <v>34320000</v>
      </c>
      <c r="D3" t="str">
        <f>IF(B3=C3,"통과","확인")</f>
        <v>통과</v>
      </c>
    </row>
    <row r="4" spans="1:4" x14ac:dyDescent="0.3">
      <c r="A4" t="s">
        <v>74</v>
      </c>
      <c r="B4" s="8">
        <f>COUNTIFS(대장!B4:B19,"&lt;&gt;",대장!D4:D19,"")</f>
        <v>0</v>
      </c>
      <c r="C4" s="8">
        <f>B4</f>
        <v>0</v>
      </c>
      <c r="D4" t="str">
        <f>IF(B4=C4,"통과","확인")</f>
        <v>통과</v>
      </c>
    </row>
    <row r="5" spans="1:4" x14ac:dyDescent="0.3">
      <c r="A5" t="s">
        <v>75</v>
      </c>
      <c r="B5" s="8">
        <f>COUNTIF(대장!D4:D19,"&lt;0")</f>
        <v>0</v>
      </c>
      <c r="C5" s="8">
        <f>B5</f>
        <v>0</v>
      </c>
      <c r="D5" t="str">
        <f>IF(B5=C5,"통과","확인")</f>
        <v>통과</v>
      </c>
    </row>
    <row r="6" spans="1:4" x14ac:dyDescent="0.3">
      <c r="A6" t="s">
        <v>76</v>
      </c>
      <c r="B6" s="8">
        <f>COUNTIF(대장!D4:D19,"&gt;100000000")</f>
        <v>0</v>
      </c>
      <c r="C6" s="8">
        <f>B6</f>
        <v>0</v>
      </c>
      <c r="D6" t="str">
        <f>IF(B6=C6,"통과","확인")</f>
        <v>통과</v>
      </c>
    </row>
    <row r="7" spans="1:4" x14ac:dyDescent="0.3">
      <c r="A7" t="s">
        <v>77</v>
      </c>
      <c r="B7" s="8">
        <f>SUMPRODUCT((대장!B4:B19&lt;&gt;"")/COUNTIF(대장!B4:B19,대장!B4:B19&amp;""))</f>
        <v>6</v>
      </c>
      <c r="C7" s="8">
        <f>B7</f>
        <v>6</v>
      </c>
      <c r="D7" t="str">
        <f>IF(B7=C7,"통과","확인")</f>
        <v>통과</v>
      </c>
    </row>
    <row r="8" spans="1:4" x14ac:dyDescent="0.3">
      <c r="A8" t="s">
        <v>78</v>
      </c>
      <c r="B8" s="8">
        <f>COUNTIFS(대장!B4:B19,"&lt;&gt;",대장!E4:E19,"")</f>
        <v>0</v>
      </c>
      <c r="C8" s="8">
        <f>B8</f>
        <v>0</v>
      </c>
      <c r="D8" t="str">
        <f>IF(B8=C8,"통과","확인")</f>
        <v>통과</v>
      </c>
    </row>
    <row r="9" spans="1:4" x14ac:dyDescent="0.3">
      <c r="A9" t="s">
        <v>79</v>
      </c>
      <c r="B9" s="8">
        <f>SUMPRODUCT((대장!B4:B19&lt;&gt;"")*(COUNTIFS(대장!A4:A19,대장!A4:A19,대장!B4:B19,대장!B4:B19,대장!D4:D19,대장!D4:D19)&gt;1))</f>
        <v>0</v>
      </c>
      <c r="C9" s="8">
        <f>B9</f>
        <v>0</v>
      </c>
      <c r="D9" t="str">
        <f>IF(B9=C9,"통과","확인")</f>
        <v>통과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검사기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2026-09-21T15:03:01Z</dcterms:modified>
</cp:coreProperties>
</file>