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검산" sheetId="2" r:id="rId1"/>
    <sheet name="합친자료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2" i="2"/>
  <c r="B1" i="2"/>
</calcChain>
</file>

<file path=xl/sharedStrings.xml><?xml version="1.0" encoding="utf-8"?>
<sst xmlns="http://schemas.openxmlformats.org/spreadsheetml/2006/main" count="92" uniqueCount="47">
  <si>
    <t>일자</t>
  </si>
  <si>
    <t>부서</t>
  </si>
  <si>
    <t>구분</t>
  </si>
  <si>
    <t>금액</t>
  </si>
  <si>
    <t>담당</t>
  </si>
  <si>
    <t>비고</t>
  </si>
  <si>
    <t>출처파일</t>
  </si>
  <si>
    <t>가져온시각</t>
  </si>
  <si>
    <t>2026-01-08</t>
  </si>
  <si>
    <t>영업1팀</t>
  </si>
  <si>
    <t>정기</t>
  </si>
  <si>
    <t>김선우</t>
  </si>
  <si>
    <t>영업1팀_상반기.xlsx</t>
  </si>
  <si>
    <t>2026-01-15</t>
  </si>
  <si>
    <t>영업 1팀</t>
  </si>
  <si>
    <t>신규</t>
  </si>
  <si>
    <t>분기 이월</t>
  </si>
  <si>
    <t>2026년 2월 14일</t>
  </si>
  <si>
    <t>영업1 팀</t>
  </si>
  <si>
    <t>2026-03-11</t>
  </si>
  <si>
    <t>정유진</t>
  </si>
  <si>
    <t>2026-04-16</t>
  </si>
  <si>
    <t>2026-05-21</t>
  </si>
  <si>
    <t>단가 조정</t>
  </si>
  <si>
    <t>2026.01.22</t>
  </si>
  <si>
    <t>영업2팀</t>
  </si>
  <si>
    <t>박도현</t>
  </si>
  <si>
    <t>영업2팀_상반기.xlsx</t>
  </si>
  <si>
    <t>2026-02-03</t>
  </si>
  <si>
    <t>2026-03-19</t>
  </si>
  <si>
    <t>2026-03-26</t>
  </si>
  <si>
    <t>영업 2팀</t>
  </si>
  <si>
    <t>재계약</t>
  </si>
  <si>
    <t>2026.04.23</t>
  </si>
  <si>
    <t>2026-02-27</t>
  </si>
  <si>
    <t>영업3팀</t>
  </si>
  <si>
    <t>이하람</t>
  </si>
  <si>
    <t>특판</t>
  </si>
  <si>
    <t>영업3팀_상반기.xlsx</t>
  </si>
  <si>
    <t>2026-03-05</t>
  </si>
  <si>
    <t>2026-04-02</t>
  </si>
  <si>
    <t>2026-05-07</t>
  </si>
  <si>
    <t>합친 행 수</t>
  </si>
  <si>
    <t>합친 금액 합</t>
  </si>
  <si>
    <t>합치기 전 행 수 합</t>
  </si>
  <si>
    <t>합치기 전 금액 합</t>
  </si>
  <si>
    <t>맞나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</si>
</sst>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6.5" x14ac:dyDescent="0.3"/>
  <sheetData>
    <row r="1" spans="1:2" x14ac:dyDescent="0.3">
      <c r="A1" t="s">
        <v>42</v>
      </c>
      <c r="B1">
        <f>COUNTA(합친자료!A2:A1000)</f>
        <v>15</v>
      </c>
    </row>
    <row r="2" spans="1:2" x14ac:dyDescent="0.3">
      <c r="A2" t="s">
        <v>43</v>
      </c>
      <c r="B2">
        <f>SUM(합친자료!D2:D1000)</f>
        <v>34320000</v>
      </c>
    </row>
    <row r="3" spans="1:2" x14ac:dyDescent="0.3">
      <c r="A3" t="s">
        <v>44</v>
      </c>
      <c r="B3">
        <v>15</v>
      </c>
    </row>
    <row r="4" spans="1:2" x14ac:dyDescent="0.3">
      <c r="A4" t="s">
        <v>45</v>
      </c>
      <c r="B4">
        <v>34320000</v>
      </c>
    </row>
    <row r="5" spans="1:2" x14ac:dyDescent="0.3">
      <c r="A5" t="s">
        <v>46</v>
      </c>
      <c r="B5" t="str">
        <f>IF(AND(B1=B3,B2=B4),"맞음","다름")</f>
        <v>맞음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6.5" x14ac:dyDescent="0.3"/>
  <cols>
    <col min="1" max="1" width="9" style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t="s">
        <v>9</v>
      </c>
      <c r="C2" t="s">
        <v>10</v>
      </c>
      <c r="D2">
        <v>1240000</v>
      </c>
      <c r="E2" t="s">
        <v>11</v>
      </c>
      <c r="G2" t="s">
        <v>12</v>
      </c>
      <c r="H2" s="2">
        <v>46287.000694444447</v>
      </c>
    </row>
    <row r="3" spans="1:8" x14ac:dyDescent="0.3">
      <c r="A3" s="1" t="s">
        <v>13</v>
      </c>
      <c r="B3" t="s">
        <v>14</v>
      </c>
      <c r="C3" t="s">
        <v>15</v>
      </c>
      <c r="D3">
        <v>880000</v>
      </c>
      <c r="E3" t="s">
        <v>11</v>
      </c>
      <c r="F3" t="s">
        <v>16</v>
      </c>
      <c r="G3" t="s">
        <v>12</v>
      </c>
      <c r="H3" s="2">
        <v>46287.000694444447</v>
      </c>
    </row>
    <row r="4" spans="1:8" x14ac:dyDescent="0.3">
      <c r="A4" s="1" t="s">
        <v>17</v>
      </c>
      <c r="B4" t="s">
        <v>18</v>
      </c>
      <c r="C4" t="s">
        <v>10</v>
      </c>
      <c r="D4">
        <v>1760000</v>
      </c>
      <c r="E4" t="s">
        <v>11</v>
      </c>
      <c r="G4" t="s">
        <v>12</v>
      </c>
      <c r="H4" s="2">
        <v>46287.000694444447</v>
      </c>
    </row>
    <row r="5" spans="1:8" x14ac:dyDescent="0.3">
      <c r="A5" s="1" t="s">
        <v>19</v>
      </c>
      <c r="B5" t="s">
        <v>9</v>
      </c>
      <c r="C5" t="s">
        <v>15</v>
      </c>
      <c r="D5">
        <v>1020000</v>
      </c>
      <c r="E5" t="s">
        <v>20</v>
      </c>
      <c r="G5" t="s">
        <v>12</v>
      </c>
      <c r="H5" s="2">
        <v>46287.000694444447</v>
      </c>
    </row>
    <row r="6" spans="1:8" x14ac:dyDescent="0.3">
      <c r="A6" s="1" t="s">
        <v>21</v>
      </c>
      <c r="B6" t="s">
        <v>9</v>
      </c>
      <c r="C6" t="s">
        <v>10</v>
      </c>
      <c r="D6">
        <v>1430000</v>
      </c>
      <c r="E6" t="s">
        <v>11</v>
      </c>
      <c r="G6" t="s">
        <v>12</v>
      </c>
      <c r="H6" s="2">
        <v>46287.000694444447</v>
      </c>
    </row>
    <row r="7" spans="1:8" x14ac:dyDescent="0.3">
      <c r="A7" s="1" t="s">
        <v>22</v>
      </c>
      <c r="B7" t="s">
        <v>9</v>
      </c>
      <c r="C7" t="s">
        <v>10</v>
      </c>
      <c r="D7">
        <v>1580000</v>
      </c>
      <c r="E7" t="s">
        <v>11</v>
      </c>
      <c r="F7" t="s">
        <v>23</v>
      </c>
      <c r="G7" t="s">
        <v>12</v>
      </c>
      <c r="H7" s="2">
        <v>46287.000694444447</v>
      </c>
    </row>
    <row r="8" spans="1:8" x14ac:dyDescent="0.3">
      <c r="A8" s="1" t="s">
        <v>24</v>
      </c>
      <c r="B8" t="s">
        <v>25</v>
      </c>
      <c r="C8" t="s">
        <v>10</v>
      </c>
      <c r="D8">
        <v>3050000</v>
      </c>
      <c r="E8" t="s">
        <v>26</v>
      </c>
      <c r="G8" t="s">
        <v>27</v>
      </c>
      <c r="H8" s="2">
        <v>46287.000694444447</v>
      </c>
    </row>
    <row r="9" spans="1:8" x14ac:dyDescent="0.3">
      <c r="A9" s="1" t="s">
        <v>28</v>
      </c>
      <c r="B9" t="s">
        <v>25</v>
      </c>
      <c r="C9" t="s">
        <v>15</v>
      </c>
      <c r="D9">
        <v>2100000</v>
      </c>
      <c r="E9" t="s">
        <v>26</v>
      </c>
      <c r="G9" t="s">
        <v>27</v>
      </c>
      <c r="H9" s="2">
        <v>46287.000694444447</v>
      </c>
    </row>
    <row r="10" spans="1:8" x14ac:dyDescent="0.3">
      <c r="A10" s="1" t="s">
        <v>29</v>
      </c>
      <c r="B10" t="s">
        <v>25</v>
      </c>
      <c r="C10" t="s">
        <v>10</v>
      </c>
      <c r="D10">
        <v>3480000</v>
      </c>
      <c r="E10" t="s">
        <v>26</v>
      </c>
      <c r="G10" t="s">
        <v>27</v>
      </c>
      <c r="H10" s="2">
        <v>46287.000694444447</v>
      </c>
    </row>
    <row r="11" spans="1:8" x14ac:dyDescent="0.3">
      <c r="A11" s="1" t="s">
        <v>30</v>
      </c>
      <c r="B11" t="s">
        <v>31</v>
      </c>
      <c r="C11" t="s">
        <v>15</v>
      </c>
      <c r="D11">
        <v>1950000</v>
      </c>
      <c r="E11" t="s">
        <v>20</v>
      </c>
      <c r="F11" t="s">
        <v>32</v>
      </c>
      <c r="G11" t="s">
        <v>27</v>
      </c>
      <c r="H11" s="2">
        <v>46287.000694444447</v>
      </c>
    </row>
    <row r="12" spans="1:8" x14ac:dyDescent="0.3">
      <c r="A12" s="1" t="s">
        <v>33</v>
      </c>
      <c r="B12" t="s">
        <v>25</v>
      </c>
      <c r="C12" t="s">
        <v>15</v>
      </c>
      <c r="D12">
        <v>2870000</v>
      </c>
      <c r="E12" t="s">
        <v>26</v>
      </c>
      <c r="G12" t="s">
        <v>27</v>
      </c>
      <c r="H12" s="2">
        <v>46287.000694444447</v>
      </c>
    </row>
    <row r="13" spans="1:8" x14ac:dyDescent="0.3">
      <c r="A13" s="1" t="s">
        <v>34</v>
      </c>
      <c r="B13" t="s">
        <v>35</v>
      </c>
      <c r="C13" t="s">
        <v>15</v>
      </c>
      <c r="D13">
        <v>4310000</v>
      </c>
      <c r="E13" t="s">
        <v>36</v>
      </c>
      <c r="F13" t="s">
        <v>37</v>
      </c>
      <c r="G13" t="s">
        <v>38</v>
      </c>
      <c r="H13" s="2">
        <v>46287.000694444447</v>
      </c>
    </row>
    <row r="14" spans="1:8" x14ac:dyDescent="0.3">
      <c r="A14" s="1" t="s">
        <v>39</v>
      </c>
      <c r="B14" t="s">
        <v>35</v>
      </c>
      <c r="C14" t="s">
        <v>10</v>
      </c>
      <c r="D14">
        <v>2650000</v>
      </c>
      <c r="E14" t="s">
        <v>36</v>
      </c>
      <c r="G14" t="s">
        <v>38</v>
      </c>
      <c r="H14" s="2">
        <v>46287.000694444447</v>
      </c>
    </row>
    <row r="15" spans="1:8" x14ac:dyDescent="0.3">
      <c r="A15" s="1" t="s">
        <v>40</v>
      </c>
      <c r="B15" t="s">
        <v>35</v>
      </c>
      <c r="C15" t="s">
        <v>10</v>
      </c>
      <c r="D15">
        <v>2240000</v>
      </c>
      <c r="E15" t="s">
        <v>36</v>
      </c>
      <c r="G15" t="s">
        <v>38</v>
      </c>
      <c r="H15" s="2">
        <v>46287.000694444447</v>
      </c>
    </row>
    <row r="16" spans="1:8" x14ac:dyDescent="0.3">
      <c r="A16" s="1" t="s">
        <v>41</v>
      </c>
      <c r="B16" t="s">
        <v>35</v>
      </c>
      <c r="C16" t="s">
        <v>15</v>
      </c>
      <c r="D16">
        <v>3760000</v>
      </c>
      <c r="E16" t="s">
        <v>20</v>
      </c>
      <c r="G16" t="s">
        <v>38</v>
      </c>
      <c r="H16" s="2">
        <v>46287.000694444447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검산</vt:lpstr>
      <vt:lpstr>합친자료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2026-09-21T15:01:31Z</dcterms:created>
  <dcterms:modified xsi:type="dcterms:W3CDTF">2026-09-21T15:01:32Z</dcterms:modified>
</cp:coreProperties>
</file>